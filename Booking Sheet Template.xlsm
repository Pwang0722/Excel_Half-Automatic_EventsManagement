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6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19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cglobalmedia0-my.sharepoint.com/personal/post_production_kcglobalmedia_com/Documents/Production/Creative-Services/CC Makelist and Unit Allocation/"/>
    </mc:Choice>
  </mc:AlternateContent>
  <xr:revisionPtr revIDLastSave="638" documentId="13_ncr:1_{B300D2B2-754F-3641-965C-F871E3FF177F}" xr6:coauthVersionLast="47" xr6:coauthVersionMax="47" xr10:uidLastSave="{D94FB4B5-0FB8-49A1-A2E2-D99299CC9955}"/>
  <bookViews>
    <workbookView xWindow="-120" yWindow="-120" windowWidth="29040" windowHeight="16440" firstSheet="1" activeTab="1" xr2:uid="{7BC3BBE0-6923-B84E-85D0-2554743ACC41}"/>
  </bookViews>
  <sheets>
    <sheet name="2023 GFX" sheetId="6" r:id="rId1"/>
    <sheet name="Aug-23 Audio &amp; Mastering" sheetId="12" r:id="rId2"/>
    <sheet name="Jul-23 Audio &amp; Mastering" sheetId="11" r:id="rId3"/>
    <sheet name="TEMPLATE_ALL" sheetId="1" r:id="rId4"/>
    <sheet name="Audio Out-House" sheetId="5" r:id="rId5"/>
    <sheet name="Summary" sheetId="9" r:id="rId6"/>
    <sheet name="HOLIDAYS" sheetId="2" r:id="rId7"/>
    <sheet name="Backup" sheetId="10" state="hidden" r:id="rId8"/>
  </sheets>
  <calcPr calcId="191028"/>
  <customWorkbookViews>
    <customWorkbookView name="Month" guid="{37A1A5CD-453E-7045-9B11-D167516DD85F}" includePrintSettings="0" yWindow="152" windowWidth="1710" windowHeight="847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2" l="1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A38" i="6"/>
  <c r="A65" i="6" s="1"/>
  <c r="E246" i="6"/>
  <c r="E253" i="6" s="1"/>
  <c r="E260" i="6" s="1"/>
  <c r="D246" i="6"/>
  <c r="D253" i="6" s="1"/>
  <c r="D260" i="6" s="1"/>
  <c r="C246" i="6"/>
  <c r="C253" i="6" s="1"/>
  <c r="C260" i="6" s="1"/>
  <c r="B246" i="6"/>
  <c r="B253" i="6" s="1"/>
  <c r="B260" i="6" s="1"/>
  <c r="F239" i="6"/>
  <c r="F246" i="6" s="1"/>
  <c r="F253" i="6" s="1"/>
  <c r="F260" i="6" s="1"/>
  <c r="C209" i="6"/>
  <c r="C216" i="6" s="1"/>
  <c r="C223" i="6" s="1"/>
  <c r="B209" i="6"/>
  <c r="B216" i="6" s="1"/>
  <c r="B223" i="6" s="1"/>
  <c r="F202" i="6"/>
  <c r="F209" i="6" s="1"/>
  <c r="F216" i="6" s="1"/>
  <c r="E202" i="6"/>
  <c r="E209" i="6" s="1"/>
  <c r="E216" i="6" s="1"/>
  <c r="E223" i="6" s="1"/>
  <c r="D202" i="6"/>
  <c r="D209" i="6" s="1"/>
  <c r="D216" i="6" s="1"/>
  <c r="D223" i="6" s="1"/>
  <c r="F165" i="6"/>
  <c r="F172" i="6" s="1"/>
  <c r="F179" i="6" s="1"/>
  <c r="E165" i="6"/>
  <c r="E172" i="6" s="1"/>
  <c r="E179" i="6" s="1"/>
  <c r="D165" i="6"/>
  <c r="D172" i="6" s="1"/>
  <c r="D179" i="6" s="1"/>
  <c r="C165" i="6"/>
  <c r="C172" i="6" s="1"/>
  <c r="C179" i="6" s="1"/>
  <c r="C186" i="6" s="1"/>
  <c r="B165" i="6"/>
  <c r="B172" i="6" s="1"/>
  <c r="B179" i="6" s="1"/>
  <c r="B186" i="6" s="1"/>
  <c r="E135" i="6"/>
  <c r="E142" i="6" s="1"/>
  <c r="E149" i="6" s="1"/>
  <c r="D135" i="6"/>
  <c r="D142" i="6" s="1"/>
  <c r="D149" i="6" s="1"/>
  <c r="C135" i="6"/>
  <c r="C142" i="6" s="1"/>
  <c r="C149" i="6" s="1"/>
  <c r="B135" i="6"/>
  <c r="B142" i="6" s="1"/>
  <c r="B149" i="6" s="1"/>
  <c r="F128" i="6"/>
  <c r="F135" i="6" s="1"/>
  <c r="F142" i="6" s="1"/>
  <c r="F149" i="6" s="1"/>
  <c r="B104" i="6"/>
  <c r="B109" i="6" s="1"/>
  <c r="B114" i="6" s="1"/>
  <c r="F99" i="6"/>
  <c r="F104" i="6" s="1"/>
  <c r="F109" i="6" s="1"/>
  <c r="E99" i="6"/>
  <c r="E104" i="6" s="1"/>
  <c r="E109" i="6" s="1"/>
  <c r="E114" i="6" s="1"/>
  <c r="D99" i="6"/>
  <c r="D104" i="6" s="1"/>
  <c r="D109" i="6" s="1"/>
  <c r="D114" i="6" s="1"/>
  <c r="C99" i="6"/>
  <c r="C104" i="6" s="1"/>
  <c r="C109" i="6" s="1"/>
  <c r="C114" i="6" s="1"/>
  <c r="F72" i="6"/>
  <c r="F77" i="6" s="1"/>
  <c r="F82" i="6" s="1"/>
  <c r="E72" i="6"/>
  <c r="E77" i="6" s="1"/>
  <c r="E82" i="6" s="1"/>
  <c r="D72" i="6"/>
  <c r="D77" i="6" s="1"/>
  <c r="D82" i="6" s="1"/>
  <c r="C72" i="6"/>
  <c r="C77" i="6" s="1"/>
  <c r="C82" i="6" s="1"/>
  <c r="B72" i="6"/>
  <c r="B77" i="6" s="1"/>
  <c r="B82" i="6" s="1"/>
  <c r="B87" i="6" s="1"/>
  <c r="F50" i="6"/>
  <c r="F55" i="6" s="1"/>
  <c r="F60" i="6" s="1"/>
  <c r="E50" i="6"/>
  <c r="E55" i="6" s="1"/>
  <c r="E60" i="6" s="1"/>
  <c r="D50" i="6"/>
  <c r="D55" i="6" s="1"/>
  <c r="D60" i="6" s="1"/>
  <c r="C50" i="6"/>
  <c r="C55" i="6" s="1"/>
  <c r="C60" i="6" s="1"/>
  <c r="B50" i="6"/>
  <c r="B55" i="6" s="1"/>
  <c r="B60" i="6" s="1"/>
  <c r="A92" i="6" l="1"/>
  <c r="A119" i="6" s="1"/>
  <c r="A156" i="6" s="1"/>
  <c r="A193" i="6" s="1"/>
  <c r="A230" i="6" s="1"/>
  <c r="AJ68" i="10"/>
  <c r="AD68" i="10" s="1"/>
  <c r="AC68" i="10"/>
  <c r="W68" i="10"/>
  <c r="V68" i="10"/>
  <c r="P68" i="10"/>
  <c r="O68" i="10"/>
  <c r="I68" i="10"/>
  <c r="H68" i="10"/>
  <c r="B68" i="10"/>
  <c r="AJ56" i="10"/>
  <c r="AD56" i="10"/>
  <c r="AC56" i="10"/>
  <c r="W56" i="10"/>
  <c r="V56" i="10"/>
  <c r="P56" i="10"/>
  <c r="O56" i="10"/>
  <c r="I56" i="10" s="1"/>
  <c r="H56" i="10"/>
  <c r="B56" i="10"/>
  <c r="AJ44" i="10"/>
  <c r="AD44" i="10" s="1"/>
  <c r="AC44" i="10"/>
  <c r="W44" i="10"/>
  <c r="V44" i="10"/>
  <c r="P44" i="10" s="1"/>
  <c r="O44" i="10"/>
  <c r="I44" i="10"/>
  <c r="H44" i="10"/>
  <c r="B44" i="10" s="1"/>
  <c r="AJ32" i="10"/>
  <c r="AD32" i="10"/>
  <c r="AC32" i="10"/>
  <c r="W32" i="10" s="1"/>
  <c r="V32" i="10"/>
  <c r="P32" i="10"/>
  <c r="O32" i="10"/>
  <c r="I32" i="10" s="1"/>
  <c r="H32" i="10"/>
  <c r="B32" i="10"/>
  <c r="AJ20" i="10"/>
  <c r="AD20" i="10" s="1"/>
  <c r="AC20" i="10"/>
  <c r="W20" i="10"/>
  <c r="V20" i="10"/>
  <c r="P20" i="10" s="1"/>
  <c r="O20" i="10"/>
  <c r="I20" i="10"/>
  <c r="H20" i="10"/>
  <c r="B20" i="10" s="1"/>
  <c r="AJ8" i="10"/>
  <c r="AD8" i="10"/>
  <c r="AC8" i="10"/>
  <c r="W8" i="10" s="1"/>
  <c r="V8" i="10"/>
  <c r="P8" i="10"/>
  <c r="O8" i="10"/>
  <c r="I8" i="10" s="1"/>
  <c r="H8" i="10"/>
  <c r="B8" i="10"/>
  <c r="B1" i="10"/>
  <c r="W5" i="9"/>
  <c r="X5" i="9" s="1"/>
  <c r="W3" i="9"/>
  <c r="X3" i="9" s="1"/>
  <c r="J25" i="9"/>
  <c r="J26" i="9"/>
  <c r="J27" i="9"/>
  <c r="J28" i="9"/>
  <c r="J29" i="9"/>
  <c r="J30" i="9"/>
  <c r="J15" i="9"/>
  <c r="R4" i="9" s="1"/>
  <c r="S4" i="9" s="1"/>
  <c r="J16" i="9"/>
  <c r="J17" i="9"/>
  <c r="J18" i="9"/>
  <c r="J19" i="9"/>
  <c r="J20" i="9"/>
  <c r="J21" i="9"/>
  <c r="J22" i="9"/>
  <c r="J23" i="9"/>
  <c r="J24" i="9"/>
  <c r="J5" i="9"/>
  <c r="J7" i="9"/>
  <c r="J4" i="9"/>
  <c r="J3" i="9"/>
  <c r="M3" i="9" s="1"/>
  <c r="N3" i="9" s="1"/>
  <c r="J8" i="9"/>
  <c r="M4" i="9" s="1"/>
  <c r="N4" i="9" s="1"/>
  <c r="J9" i="9"/>
  <c r="J10" i="9"/>
  <c r="R5" i="9" s="1"/>
  <c r="S5" i="9" s="1"/>
  <c r="J11" i="9"/>
  <c r="J12" i="9"/>
  <c r="J13" i="9"/>
  <c r="M6" i="9" s="1"/>
  <c r="N6" i="9" s="1"/>
  <c r="J14" i="9"/>
  <c r="J6" i="9"/>
  <c r="O28" i="5"/>
  <c r="O29" i="5"/>
  <c r="O30" i="5"/>
  <c r="O31" i="5"/>
  <c r="O32" i="5"/>
  <c r="O33" i="5"/>
  <c r="O34" i="5"/>
  <c r="O35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4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12" i="5"/>
  <c r="M13" i="5"/>
  <c r="M14" i="5"/>
  <c r="M15" i="5"/>
  <c r="M16" i="5"/>
  <c r="M17" i="5"/>
  <c r="M18" i="5"/>
  <c r="M19" i="5"/>
  <c r="M20" i="5"/>
  <c r="M21" i="5"/>
  <c r="M22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5" i="5"/>
  <c r="M5" i="5" s="1"/>
  <c r="L6" i="5"/>
  <c r="M6" i="5" s="1"/>
  <c r="L7" i="5"/>
  <c r="M7" i="5" s="1"/>
  <c r="L8" i="5"/>
  <c r="M8" i="5" s="1"/>
  <c r="L9" i="5"/>
  <c r="M9" i="5" s="1"/>
  <c r="L10" i="5"/>
  <c r="M10" i="5" s="1"/>
  <c r="L11" i="5"/>
  <c r="M11" i="5" s="1"/>
  <c r="L12" i="5"/>
  <c r="L13" i="5"/>
  <c r="L14" i="5"/>
  <c r="L15" i="5"/>
  <c r="L16" i="5"/>
  <c r="L17" i="5"/>
  <c r="L18" i="5"/>
  <c r="L19" i="5"/>
  <c r="L4" i="5"/>
  <c r="M4" i="5" s="1"/>
  <c r="K27" i="5"/>
  <c r="K28" i="5"/>
  <c r="K29" i="5"/>
  <c r="K30" i="5"/>
  <c r="K31" i="5"/>
  <c r="K32" i="5"/>
  <c r="K33" i="5"/>
  <c r="K34" i="5"/>
  <c r="K35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4" i="5"/>
  <c r="F10" i="6"/>
  <c r="F17" i="6" s="1"/>
  <c r="F24" i="6" s="1"/>
  <c r="E10" i="6"/>
  <c r="E17" i="6" s="1"/>
  <c r="E24" i="6" s="1"/>
  <c r="D10" i="6"/>
  <c r="D17" i="6" s="1"/>
  <c r="D24" i="6" s="1"/>
  <c r="D31" i="6" s="1"/>
  <c r="C10" i="6"/>
  <c r="C17" i="6" s="1"/>
  <c r="C24" i="6" s="1"/>
  <c r="C31" i="6" s="1"/>
  <c r="B10" i="6"/>
  <c r="B17" i="6" s="1"/>
  <c r="B24" i="6" s="1"/>
  <c r="B31" i="6" s="1"/>
  <c r="C3" i="2"/>
  <c r="C4" i="2"/>
  <c r="C5" i="2"/>
  <c r="C6" i="2"/>
  <c r="C7" i="2"/>
  <c r="C2" i="2"/>
  <c r="B1" i="1"/>
  <c r="AJ68" i="1"/>
  <c r="AD68" i="1" s="1"/>
  <c r="AC68" i="1"/>
  <c r="W68" i="1" s="1"/>
  <c r="V68" i="1"/>
  <c r="P68" i="1" s="1"/>
  <c r="O68" i="1"/>
  <c r="I68" i="1" s="1"/>
  <c r="H68" i="1"/>
  <c r="B68" i="1" s="1"/>
  <c r="AJ56" i="1"/>
  <c r="AD56" i="1" s="1"/>
  <c r="AC56" i="1"/>
  <c r="W56" i="1" s="1"/>
  <c r="V56" i="1"/>
  <c r="P56" i="1" s="1"/>
  <c r="O56" i="1"/>
  <c r="I56" i="1" s="1"/>
  <c r="H56" i="1"/>
  <c r="B56" i="1" s="1"/>
  <c r="AJ44" i="1"/>
  <c r="AD44" i="1" s="1"/>
  <c r="AC44" i="1"/>
  <c r="W44" i="1" s="1"/>
  <c r="V44" i="1"/>
  <c r="P44" i="1" s="1"/>
  <c r="O44" i="1"/>
  <c r="I44" i="1" s="1"/>
  <c r="H44" i="1"/>
  <c r="B44" i="1" s="1"/>
  <c r="AJ32" i="1"/>
  <c r="AD32" i="1" s="1"/>
  <c r="AC32" i="1"/>
  <c r="W32" i="1" s="1"/>
  <c r="V32" i="1"/>
  <c r="P32" i="1" s="1"/>
  <c r="O32" i="1"/>
  <c r="I32" i="1" s="1"/>
  <c r="H32" i="1"/>
  <c r="B32" i="1" s="1"/>
  <c r="AJ20" i="1"/>
  <c r="AD20" i="1" s="1"/>
  <c r="AC20" i="1"/>
  <c r="W20" i="1" s="1"/>
  <c r="V20" i="1"/>
  <c r="P20" i="1" s="1"/>
  <c r="O20" i="1"/>
  <c r="I20" i="1" s="1"/>
  <c r="H20" i="1"/>
  <c r="B20" i="1" s="1"/>
  <c r="AJ8" i="1"/>
  <c r="AD8" i="1" s="1"/>
  <c r="AC8" i="1"/>
  <c r="W8" i="1" s="1"/>
  <c r="V8" i="1"/>
  <c r="P8" i="1" s="1"/>
  <c r="O8" i="1"/>
  <c r="I8" i="1" s="1"/>
  <c r="H8" i="1"/>
  <c r="B8" i="1" s="1"/>
  <c r="M5" i="9" l="1"/>
  <c r="N5" i="9" s="1"/>
  <c r="W4" i="9"/>
  <c r="X4" i="9" s="1"/>
  <c r="W6" i="9"/>
  <c r="X6" i="9" s="1"/>
  <c r="R6" i="9"/>
  <c r="S6" i="9" s="1"/>
  <c r="R3" i="9"/>
  <c r="S3" i="9" s="1"/>
  <c r="L9" i="9"/>
  <c r="L10" i="9" l="1" a="1"/>
  <c r="L10" i="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<sst xmlns="http://schemas.openxmlformats.org/spreadsheetml/2006/main" count="1697" uniqueCount="268">
  <si>
    <t>DAY</t>
  </si>
  <si>
    <t>MONDAY</t>
  </si>
  <si>
    <t>TUESDAY</t>
  </si>
  <si>
    <t>WEDNESDAY</t>
  </si>
  <si>
    <t>THURSDAY</t>
  </si>
  <si>
    <t>FRIDAY</t>
  </si>
  <si>
    <t>DATE</t>
  </si>
  <si>
    <t>Yan</t>
  </si>
  <si>
    <t>LABOUR DAY</t>
  </si>
  <si>
    <t>(Wayne) GEM GTO Stunt</t>
  </si>
  <si>
    <t>(Dorothy) ONE Running Man Digital Campaign</t>
  </si>
  <si>
    <t xml:space="preserve">(Wayne) GEM Inspirational quotes from Great Teacher </t>
  </si>
  <si>
    <t>(Freelancer) GEM GEM Best Food Moments - Moco's Travel Kitchen S2 &amp; Bananaman's Gotcha Gourmet</t>
  </si>
  <si>
    <t>Korea team</t>
  </si>
  <si>
    <t>Freelancer</t>
  </si>
  <si>
    <t>(Wayne) KCM Ident 2</t>
  </si>
  <si>
    <t>CPS</t>
  </si>
  <si>
    <t>CC IPP</t>
  </si>
  <si>
    <t>(Susan) AXN How To Be a Hero</t>
  </si>
  <si>
    <t>(Susan) KCGM Spot</t>
  </si>
  <si>
    <t>(Susan) AXN Blue Bloods 13</t>
  </si>
  <si>
    <t>(Daniel) [Animax TW] Dubbing Talents Campaign (tbc)</t>
  </si>
  <si>
    <t>(Susan) KCGM Spot (changes)</t>
  </si>
  <si>
    <t>(Dorothy) ONE Running Man Contest Spot</t>
  </si>
  <si>
    <t>YAN ON LEAVE</t>
  </si>
  <si>
    <t>VESAK DAY</t>
  </si>
  <si>
    <t>(Dorothy) ONE Monthly Highlights</t>
  </si>
  <si>
    <t>(Daniel) EA Month of Sequel Stunt</t>
  </si>
  <si>
    <t>(JC) AXN TW James Bond Month stunt(due date: 6/20)</t>
  </si>
  <si>
    <t>(Freelancer) TW Re: ZERO Stunt</t>
  </si>
  <si>
    <t>(Susan) AXN Titles</t>
  </si>
  <si>
    <t>(Freelancer) ONE Medical Drama Stunt</t>
  </si>
  <si>
    <t>(Daniel) TW Summer Campaign WAW</t>
  </si>
  <si>
    <t>(Susan) AXN SWAT 6 TM Net Contest</t>
  </si>
  <si>
    <t>(Susan) GEM Variety title (TBC)</t>
  </si>
  <si>
    <t>HARI RAYA HAJI</t>
  </si>
  <si>
    <t>(Dorothy) ONE Running Man Running Man anniversary</t>
  </si>
  <si>
    <t>(Susan) GEM Please Charge My Motorbike S2</t>
  </si>
  <si>
    <t>(Susan/Nat) AXN Endpages</t>
  </si>
  <si>
    <t>(JC) AXN TW Ransom S1&amp;2 (due date: 7/14)</t>
  </si>
  <si>
    <t>(Freelancer) ANIMAX Mecha Stunt (TW)</t>
  </si>
  <si>
    <t>(Freelancer) ANIMAX Celebrating International Youth Day/Seinen Stunt (EA)</t>
  </si>
  <si>
    <t>(Dorothy) ONE Pasta / Variety title endpage</t>
  </si>
  <si>
    <t>(JC) AXN TW AXN Mission Contest &amp; IPP (due date: 7/17)</t>
  </si>
  <si>
    <t>(Dorothy) ONE Mukbang Stunt</t>
  </si>
  <si>
    <t>(Susan) AXN Monthly Highlights</t>
  </si>
  <si>
    <t>(Susan) AXN Throwback Friday</t>
  </si>
  <si>
    <t>(Susan) AXN American Ninja Warrior JR</t>
  </si>
  <si>
    <t>(Wayne) ONE Brand Sizzle</t>
  </si>
  <si>
    <t>(Daniel) ANIMAX Brand Sizzle</t>
  </si>
  <si>
    <t>(Wayne) KCM promo / GEM Reel Thai version</t>
  </si>
  <si>
    <t>(Susan/JC) AXN Sizzel Reel</t>
  </si>
  <si>
    <t>NATIONAL DAY</t>
  </si>
  <si>
    <t>(Freelancer) ANIMAX Sword Battle Stunt (30s)</t>
  </si>
  <si>
    <t>(Dorothy) ONEderful Day with Kang Ha Neul - Announcement/Contest Spot</t>
  </si>
  <si>
    <t>(Daniel) Animax Sizzle Reel TW (Adapt from EA)</t>
  </si>
  <si>
    <t>(Dorothy) ONEderful Day with Kang Ha Neul - Announcement/Contest Spot CHANGES</t>
  </si>
  <si>
    <t>(Susan/JC) AXN Sizzel Reel Changes</t>
  </si>
  <si>
    <t>(Freelancer) GEM 7.50PM Variety Belt</t>
  </si>
  <si>
    <t>(Susan) AXN Monthly Highlights - Action Month</t>
  </si>
  <si>
    <t>(Dorothy) ONEderful Day with Kang Ha Neul - Thematic Videos</t>
  </si>
  <si>
    <t>(Dorothy) ONE Secret Agent in Action Stunt</t>
  </si>
  <si>
    <t>(Susan) Fantasy Island 2</t>
  </si>
  <si>
    <t>(Susan) AXN Fantasy Island - Contest Promo Spot</t>
  </si>
  <si>
    <t>DEEPAVALI OBSERVED</t>
  </si>
  <si>
    <t>CHRISTMAS DAY</t>
  </si>
  <si>
    <t>Audio &amp; Mastering</t>
  </si>
  <si>
    <t>MON</t>
  </si>
  <si>
    <t>TUE</t>
  </si>
  <si>
    <t>WED</t>
  </si>
  <si>
    <t>THU</t>
  </si>
  <si>
    <t>FRI</t>
  </si>
  <si>
    <t>YEAR</t>
  </si>
  <si>
    <t>PRODUCER</t>
  </si>
  <si>
    <t>CHANNEL</t>
  </si>
  <si>
    <t>PROJECT</t>
  </si>
  <si>
    <t>FACILITY</t>
  </si>
  <si>
    <t>TIME</t>
  </si>
  <si>
    <t>DUR</t>
  </si>
  <si>
    <t>DUE DATE</t>
  </si>
  <si>
    <t>*For Time, please only state AM or PM.</t>
  </si>
  <si>
    <t>EVERY TUE: 4-6PM CPS BILLBOARD (2 HOURS)</t>
  </si>
  <si>
    <t>EVERY WED: 5-6PM CPS BILLBOARD (1 HOUR)</t>
  </si>
  <si>
    <t>EVERY FRI: 4-6PM CPS BILLBOARD (2 HOURS)</t>
  </si>
  <si>
    <t>MONTH</t>
  </si>
  <si>
    <r>
      <t xml:space="preserve">*DUE DATE: Please include your </t>
    </r>
    <r>
      <rPr>
        <b/>
        <sz val="12"/>
        <color rgb="FFFF0000"/>
        <rFont val="Trebuchet MS"/>
        <family val="2"/>
      </rPr>
      <t>PROMO TX DATE</t>
    </r>
    <r>
      <rPr>
        <b/>
        <sz val="12"/>
        <color theme="1"/>
        <rFont val="Trebuchet MS"/>
        <family val="2"/>
      </rPr>
      <t xml:space="preserve"> or </t>
    </r>
    <r>
      <rPr>
        <b/>
        <sz val="12"/>
        <color rgb="FFFF0000"/>
        <rFont val="Trebuchet MS"/>
        <family val="2"/>
      </rPr>
      <t>APPROVAL DUE DATE</t>
    </r>
  </si>
  <si>
    <t>AVAILABLE AUDIO: 6 HOURS</t>
  </si>
  <si>
    <t>AVAILABLE AUDIO: 7 HOURS</t>
  </si>
  <si>
    <t/>
  </si>
  <si>
    <t>Audio</t>
  </si>
  <si>
    <t>JESSIE</t>
  </si>
  <si>
    <t>AXN TW</t>
  </si>
  <si>
    <t>Assassin's Creed</t>
  </si>
  <si>
    <t>PM</t>
  </si>
  <si>
    <t>DOROTHY</t>
  </si>
  <si>
    <t>ANIMAX</t>
  </si>
  <si>
    <t>ANIMAX EA/TW Sept Reversion</t>
  </si>
  <si>
    <t>AM</t>
  </si>
  <si>
    <t>ONE</t>
  </si>
  <si>
    <t>ONE Sept Reversion</t>
  </si>
  <si>
    <t>WAYNE</t>
  </si>
  <si>
    <t>Numbers V1</t>
  </si>
  <si>
    <t>GEM</t>
  </si>
  <si>
    <t>GEM Sept Reversion</t>
  </si>
  <si>
    <t>ONE My Dearest V2</t>
  </si>
  <si>
    <t>ASAP</t>
  </si>
  <si>
    <t>FREELANCER</t>
  </si>
  <si>
    <t>(Atul) Numbers V2</t>
  </si>
  <si>
    <t>Master</t>
  </si>
  <si>
    <t>SUSAN</t>
  </si>
  <si>
    <t>AXN</t>
  </si>
  <si>
    <t>Am Ninja Warrior Jr 3 - Best Moments</t>
  </si>
  <si>
    <t>AXNTW Mastering</t>
  </si>
  <si>
    <t>ONE My Dearest V2 + xAffliates</t>
  </si>
  <si>
    <t>AXN Mission Contest XPP Upload</t>
  </si>
  <si>
    <t>ANIMAX EA Sept Reversion</t>
  </si>
  <si>
    <t>NATASHA</t>
  </si>
  <si>
    <t>Hudson and Rex IPP Upload</t>
  </si>
  <si>
    <t>National Day</t>
  </si>
  <si>
    <t>DANIEL</t>
  </si>
  <si>
    <t>The Eminence in Shadow Season 1 (30s) (TW Only)</t>
  </si>
  <si>
    <t>Cosplay Mania Animax</t>
  </si>
  <si>
    <t>I am Solo</t>
  </si>
  <si>
    <t>Cosentino Digital Content</t>
  </si>
  <si>
    <t>Mid Autumn Festival Stunt (30s) (TW Only) - Replaces Monthly Highlight</t>
  </si>
  <si>
    <t>ANIMAX TW Sept Reversion</t>
  </si>
  <si>
    <t xml:space="preserve">Numbers V1 </t>
  </si>
  <si>
    <t>(Atul) Numbers V2 (+25s) xAffiliate</t>
  </si>
  <si>
    <t>Hudson &amp; Rex S5 Gen</t>
  </si>
  <si>
    <t>ALOHA</t>
  </si>
  <si>
    <t>ANIMAX EA/TW Sept Reversion (changes)</t>
  </si>
  <si>
    <t>ONEderful Day with Kang Ha Neul - Announcement Spot</t>
  </si>
  <si>
    <t>AXN NewsFlash Promo</t>
  </si>
  <si>
    <t>Sword Battle Stunt (+25s)</t>
  </si>
  <si>
    <t>G.I. JOE: THE RISE OF COBRA</t>
  </si>
  <si>
    <t>GEM Sept Reversion (changes)</t>
  </si>
  <si>
    <t>TW HD2 Monthly Highlights</t>
  </si>
  <si>
    <t>Lake Placid: Legacy Promo</t>
  </si>
  <si>
    <t>ONE Sept Reversion (changes)</t>
  </si>
  <si>
    <t>KCM Promos Oct</t>
  </si>
  <si>
    <t>I am Solo (+25s) + xAffiliates</t>
  </si>
  <si>
    <t>Animax Sizzle Reel TW (Adapt from EA)</t>
  </si>
  <si>
    <t>I am Solo IPP Upload</t>
  </si>
  <si>
    <t>CATH</t>
  </si>
  <si>
    <t>ONE Bumpers - new titles</t>
  </si>
  <si>
    <t>Fanstasy Island S2 IPP upload</t>
  </si>
  <si>
    <t>AXN Sizzle Reel</t>
  </si>
  <si>
    <t>Freelance Audio</t>
  </si>
  <si>
    <t xml:space="preserve"> American Ninja Warrior S13</t>
  </si>
  <si>
    <t>AXN Sizzle Reel (EA)</t>
  </si>
  <si>
    <t>GEM Variety Belt 7.50PM (+25s) + xAffiliates</t>
  </si>
  <si>
    <t>Secret Agent in Action Stunt (My Secret, Terrius &amp; Good Casting)</t>
  </si>
  <si>
    <t>Monthly Highlight</t>
  </si>
  <si>
    <t>Ransom S3</t>
  </si>
  <si>
    <t>AXN Action Monthly Highlights (60s, 30s, 25s)</t>
  </si>
  <si>
    <t>EA/PH Monthly Highlights</t>
  </si>
  <si>
    <t xml:space="preserve">KCM Promos Oct </t>
  </si>
  <si>
    <t>Sword Battle Stunt xAffiliates</t>
  </si>
  <si>
    <t>AXN cuetone ID + bumpers</t>
  </si>
  <si>
    <t>WorldGym Part1 digital and cutdown Promo</t>
  </si>
  <si>
    <t>MARLEY &amp; ME</t>
  </si>
  <si>
    <t>NCIS: L.A. S14 Gen</t>
  </si>
  <si>
    <t>Hudson and Rex: Best Team Ever Compilation (MKT)</t>
  </si>
  <si>
    <t>SUSPECT X</t>
  </si>
  <si>
    <t>AXN Locked and Loaded</t>
  </si>
  <si>
    <t>ONEderful Day with Kang Ha Neul - Thematic Videos</t>
  </si>
  <si>
    <t>tbc</t>
  </si>
  <si>
    <t>ONEderful Day with Kang Ha Neul - Contest Spot</t>
  </si>
  <si>
    <t>Fantasy Island S2</t>
  </si>
  <si>
    <t>WorldGym Part1</t>
  </si>
  <si>
    <t>Inkigayo Filler MVs - Sep batch - Export on-air</t>
  </si>
  <si>
    <t>Inkigayo Filler MVs - Sep batch - Logging/Subtitling/Export for vetting</t>
  </si>
  <si>
    <t>UP Next/ Bumper</t>
  </si>
  <si>
    <t xml:space="preserve">	Hari Raya Haji</t>
  </si>
  <si>
    <t>JACK REACHER</t>
  </si>
  <si>
    <t>Animax EA/TW Aug Reversion</t>
  </si>
  <si>
    <t>ONE Aug Reversion</t>
  </si>
  <si>
    <t>JACK REACHER: NEVER GO BACK</t>
  </si>
  <si>
    <t>GEM Aug Reversion</t>
  </si>
  <si>
    <t>Rookie Blue 5</t>
  </si>
  <si>
    <t>CODE Japan Ident Kentaro Sakaguchi</t>
  </si>
  <si>
    <t>ONE Running Man anniversary (July) Giveaway Spot - 1 Affiliate (Astro) (WIP)</t>
  </si>
  <si>
    <t>Animax EA Aug Reversion</t>
  </si>
  <si>
    <t>Animax TW Aug Reversion</t>
  </si>
  <si>
    <t>WORLD TRADE CENTER</t>
  </si>
  <si>
    <t>Pasta (PV from MBC)</t>
  </si>
  <si>
    <t>Please Charge My Motorbike S2</t>
  </si>
  <si>
    <t>ONE Aug Reversion (changes)</t>
  </si>
  <si>
    <t>NCIS: Hawai'i S2 Gen</t>
  </si>
  <si>
    <t>Mecha Stunt (TW)</t>
  </si>
  <si>
    <t>Animax EA/TW Aug Reversion (changes)</t>
  </si>
  <si>
    <t>GEM Aug Reversion (changes)</t>
  </si>
  <si>
    <t>KCM Channel Promos</t>
  </si>
  <si>
    <t>Celebrating Intl Youth Day stunt (EA) + 25s</t>
  </si>
  <si>
    <t>Pasta (PV from MBC) (+25s) + xAffliates</t>
  </si>
  <si>
    <t>Pasta IPP Upload</t>
  </si>
  <si>
    <t>American Ninja Warrior Jr 3 IPP Upload</t>
  </si>
  <si>
    <t>Rookie Blue 5 IPP Upload</t>
  </si>
  <si>
    <t>Ransom S1 Gen</t>
  </si>
  <si>
    <t>AXN TW AXN Mission Contest</t>
  </si>
  <si>
    <t>Mukbang Stunt (Pasta TX 1 Aug &amp; Wok of Love TX 10 Aug) (+25s)</t>
  </si>
  <si>
    <t>AXN Throwback Friday - CSI Miami</t>
  </si>
  <si>
    <t>Ransom S2 Gen</t>
  </si>
  <si>
    <t>KCM channel Promos</t>
  </si>
  <si>
    <t>TBC Mini-Series (+25s)</t>
  </si>
  <si>
    <t>end july</t>
  </si>
  <si>
    <t>Marriage is Difficult for a Ninja (+25s)</t>
  </si>
  <si>
    <t>Celebrating Intl Youth Day stunt IPP Upload</t>
  </si>
  <si>
    <t>Mukbang Stunt (Pasta TX 1 Aug &amp; Wok of Love TX 10 Aug) (+25s) + xAffliates</t>
  </si>
  <si>
    <t>Marriage is Difficult for a Ninja (+25s) + xAffiliates</t>
  </si>
  <si>
    <t>Marriage is Difficult for a Ninja IPP Upload</t>
  </si>
  <si>
    <t>AXN TW AXN Mission Contest XPP</t>
  </si>
  <si>
    <t>AXN Battle Of The Villains</t>
  </si>
  <si>
    <t>Slender Man Promo</t>
  </si>
  <si>
    <t>TBC Variety title (After Fantasy Boys)</t>
  </si>
  <si>
    <t>AXN MKTG Snippets of Villains</t>
  </si>
  <si>
    <t>ANIMAX Brand Sizzle Reel - for APOS event in Sep</t>
  </si>
  <si>
    <t>American Ninja Warrior Junior S3 Gen</t>
  </si>
  <si>
    <t>Aug Monthly Highlight</t>
  </si>
  <si>
    <t>AXN Monthly Highlights</t>
  </si>
  <si>
    <t>Half Blue Sky</t>
  </si>
  <si>
    <t>Hudson and Rex S5 Promo + 25s</t>
  </si>
  <si>
    <t>I'm Old Enough Special 2023 (+25s)</t>
  </si>
  <si>
    <t>Inkigayo Filler MVs - Aug batch - Export on-air</t>
  </si>
  <si>
    <t>AXN Cuetone ID + bumpers</t>
  </si>
  <si>
    <t>Inkigayo Filler MVs - Aug batch - Logging/Subtitling/Export for vetting</t>
  </si>
  <si>
    <t>TBC Variety title (After Fantasy Boys) (+25s) + xAffliates</t>
  </si>
  <si>
    <t>Celebrating Intl Youth Day stunt xAffiliates</t>
  </si>
  <si>
    <t>TBC Variety title IPP Upload</t>
  </si>
  <si>
    <t>I'm Old Enough Special 2023 (+25s) + xAffiliates</t>
  </si>
  <si>
    <t>TBC Mini-Series IPP Upload</t>
  </si>
  <si>
    <t>I'm Old Enough Special 2023 IPP Upload</t>
  </si>
  <si>
    <t>ONE Sizzle Reel 2023</t>
  </si>
  <si>
    <t>Hudson and Rex S5 Marketing Clips</t>
  </si>
  <si>
    <t>FBI Intl 2 Refresh promo</t>
  </si>
  <si>
    <t>Hudson and Rex S5 Promo + Xpromo</t>
  </si>
  <si>
    <t>All Freelance Bookings Sorted by Due Dates:</t>
  </si>
  <si>
    <r>
      <t xml:space="preserve">Before proceeding, open </t>
    </r>
    <r>
      <rPr>
        <b/>
        <u/>
        <sz val="12"/>
        <color theme="5" tint="-0.249977111117893"/>
        <rFont val="Trebuchet MS"/>
        <family val="2"/>
      </rPr>
      <t>Outlook desktop</t>
    </r>
    <r>
      <rPr>
        <b/>
        <sz val="12"/>
        <color theme="5" tint="-0.249977111117893"/>
        <rFont val="Trebuchet MS"/>
        <family val="2"/>
      </rPr>
      <t xml:space="preserve">
and close </t>
    </r>
    <r>
      <rPr>
        <b/>
        <u/>
        <sz val="12"/>
        <color theme="5" tint="-0.249977111117893"/>
        <rFont val="Trebuchet MS"/>
        <family val="2"/>
      </rPr>
      <t>Outlook Web</t>
    </r>
    <r>
      <rPr>
        <b/>
        <sz val="12"/>
        <color theme="5" tint="-0.249977111117893"/>
        <rFont val="Trebuchet MS"/>
        <family val="2"/>
      </rPr>
      <t xml:space="preserve"> to avoid errors.</t>
    </r>
  </si>
  <si>
    <t>Booking Date</t>
  </si>
  <si>
    <t>Producer</t>
  </si>
  <si>
    <t>Channel</t>
  </si>
  <si>
    <t>Project</t>
  </si>
  <si>
    <t>Facility</t>
  </si>
  <si>
    <t>AM/PM</t>
  </si>
  <si>
    <t>Dur (hrs)</t>
  </si>
  <si>
    <t>Due Date</t>
  </si>
  <si>
    <t>Tilte</t>
  </si>
  <si>
    <t>Start Time</t>
  </si>
  <si>
    <t>End Time</t>
  </si>
  <si>
    <t>Audio Engineer</t>
  </si>
  <si>
    <t>Category</t>
  </si>
  <si>
    <t>Upload bookings to Outsource Audio calendar</t>
  </si>
  <si>
    <t>Delete all bookings from selected month in Outsource Audio calendar</t>
  </si>
  <si>
    <t>Kerry</t>
  </si>
  <si>
    <t>Oakey</t>
  </si>
  <si>
    <t>Lin</t>
  </si>
  <si>
    <t>Date</t>
  </si>
  <si>
    <t>Start time</t>
  </si>
  <si>
    <t>End time</t>
  </si>
  <si>
    <t>Producer &amp; Project Title</t>
  </si>
  <si>
    <t>Hours</t>
  </si>
  <si>
    <t>Costings</t>
  </si>
  <si>
    <t>PO numbers</t>
  </si>
  <si>
    <t>Verify if hours match</t>
  </si>
  <si>
    <t>Vesak Day</t>
  </si>
  <si>
    <t>Deepavali</t>
  </si>
  <si>
    <t>Deepavali Observed</t>
  </si>
  <si>
    <t>Christmas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</si>
</sst>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dd"/>
    <numFmt numFmtId="165" formatCode="ddd"/>
    <numFmt numFmtId="166" formatCode="mmmm\-yyyy"/>
    <numFmt numFmtId="167" formatCode="mm/dd/yyyy"/>
    <numFmt numFmtId="168" formatCode="mm/dd/yyyy\ hh:mm"/>
    <numFmt numFmtId="169" formatCode="h:mm;@"/>
    <numFmt numFmtId="170" formatCode="[$SGD]\ #,##0"/>
    <numFmt numFmtId="171" formatCode="[$HKD]\ #,##0"/>
  </numFmts>
  <fonts count="38">
    <font>
      <sz val="12"/>
      <color theme="1"/>
      <name val="Calibri"/>
      <family val="2"/>
      <scheme val="minor"/>
    </font>
    <font>
      <b/>
      <sz val="11"/>
      <color theme="1"/>
      <name val="Trebuchet MS"/>
      <family val="2"/>
    </font>
    <font>
      <b/>
      <sz val="12"/>
      <color theme="1"/>
      <name val="Trebuchet MS"/>
      <family val="2"/>
    </font>
    <font>
      <sz val="11"/>
      <color theme="1"/>
      <name val="Trebuchet MS"/>
      <family val="2"/>
    </font>
    <font>
      <b/>
      <sz val="12"/>
      <color rgb="FFFF0000"/>
      <name val="Trebuchet MS"/>
      <family val="2"/>
    </font>
    <font>
      <b/>
      <sz val="14"/>
      <color rgb="FFFF0000"/>
      <name val="Trebuchet MS"/>
      <family val="2"/>
    </font>
    <font>
      <b/>
      <sz val="11"/>
      <color rgb="FF00B050"/>
      <name val="Trebuchet MS"/>
      <family val="2"/>
    </font>
    <font>
      <u/>
      <sz val="12"/>
      <color theme="10"/>
      <name val="Calibri"/>
      <family val="2"/>
      <scheme val="minor"/>
    </font>
    <font>
      <b/>
      <sz val="36"/>
      <color theme="1"/>
      <name val="Trebuchet MS"/>
      <family val="2"/>
    </font>
    <font>
      <b/>
      <sz val="16"/>
      <color theme="1"/>
      <name val="Trebuchet MS"/>
      <family val="2"/>
    </font>
    <font>
      <b/>
      <sz val="20"/>
      <color theme="1"/>
      <name val="Trebuchet MS"/>
      <family val="2"/>
    </font>
    <font>
      <b/>
      <sz val="12"/>
      <color theme="0"/>
      <name val="Trebuchet MS"/>
      <family val="2"/>
    </font>
    <font>
      <b/>
      <sz val="11"/>
      <color rgb="FF0070C0"/>
      <name val="Trebuchet MS"/>
      <family val="2"/>
    </font>
    <font>
      <b/>
      <sz val="11"/>
      <color rgb="FF333333"/>
      <name val="Trebuchet MS"/>
      <family val="2"/>
    </font>
    <font>
      <b/>
      <sz val="11"/>
      <name val="Trebuchet MS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1"/>
      <color rgb="FF000000"/>
      <name val="Arial"/>
      <family val="2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Trebuchet MS"/>
      <family val="2"/>
    </font>
    <font>
      <sz val="12"/>
      <color theme="1"/>
      <name val="Trebuchet MS"/>
      <family val="2"/>
    </font>
    <font>
      <sz val="12"/>
      <color theme="1"/>
      <name val="Calibri"/>
      <family val="2"/>
      <scheme val="minor"/>
    </font>
    <font>
      <sz val="10"/>
      <color theme="1"/>
      <name val="Trebuchet MS"/>
      <family val="2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3"/>
      <color theme="1"/>
      <name val="Trebuchet MS"/>
      <family val="2"/>
    </font>
    <font>
      <sz val="13"/>
      <color theme="1"/>
      <name val="Trebuchet MS"/>
      <family val="2"/>
    </font>
    <font>
      <b/>
      <sz val="16"/>
      <color theme="0"/>
      <name val="Trebuchet MS"/>
      <family val="2"/>
    </font>
    <font>
      <sz val="12"/>
      <name val="Trebuchet MS"/>
      <family val="2"/>
    </font>
    <font>
      <b/>
      <sz val="12"/>
      <color theme="5" tint="-0.249977111117893"/>
      <name val="Trebuchet MS"/>
      <family val="2"/>
    </font>
    <font>
      <b/>
      <u/>
      <sz val="12"/>
      <color theme="5" tint="-0.249977111117893"/>
      <name val="Trebuchet MS"/>
      <family val="2"/>
    </font>
    <font>
      <b/>
      <sz val="11"/>
      <color rgb="FFFFFFFF"/>
      <name val="Calibri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4"/>
      <color rgb="FFFFFFFF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2B6E4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FFF2CC"/>
        <bgColor rgb="FFFFF2CC"/>
      </patternFill>
    </fill>
    <fill>
      <patternFill patternType="solid">
        <fgColor rgb="FFCCCCCC"/>
        <bgColor rgb="FFCCCCCC"/>
      </patternFill>
    </fill>
    <fill>
      <patternFill patternType="solid">
        <fgColor rgb="FF980000"/>
        <bgColor rgb="FF980000"/>
      </patternFill>
    </fill>
    <fill>
      <patternFill patternType="solid">
        <fgColor rgb="FFB6D7A8"/>
        <bgColor rgb="FFB6D7A8"/>
      </patternFill>
    </fill>
    <fill>
      <patternFill patternType="solid">
        <fgColor rgb="FFB4A7D6"/>
        <bgColor rgb="FFB4A7D6"/>
      </patternFill>
    </fill>
    <fill>
      <patternFill patternType="solid">
        <fgColor rgb="FFF6B26B"/>
        <bgColor rgb="FFF6B26B"/>
      </patternFill>
    </fill>
    <fill>
      <patternFill patternType="solid">
        <fgColor rgb="FFF1C232"/>
        <bgColor rgb="FFF1C232"/>
      </patternFill>
    </fill>
    <fill>
      <patternFill patternType="solid">
        <fgColor rgb="FFE06666"/>
        <bgColor rgb="FFE06666"/>
      </patternFill>
    </fill>
    <fill>
      <patternFill patternType="solid">
        <fgColor rgb="FFC9DAF8"/>
        <bgColor rgb="FFC9DAF8"/>
      </patternFill>
    </fill>
    <fill>
      <patternFill patternType="solid">
        <fgColor rgb="FF999999"/>
        <bgColor rgb="FF999999"/>
      </patternFill>
    </fill>
    <fill>
      <patternFill patternType="solid">
        <fgColor rgb="FFFFD966"/>
        <bgColor rgb="FFFFD966"/>
      </patternFill>
    </fill>
    <fill>
      <patternFill patternType="solid">
        <fgColor theme="9" tint="0.39997558519241921"/>
        <bgColor rgb="FFFFD966"/>
      </patternFill>
    </fill>
    <fill>
      <patternFill patternType="solid">
        <fgColor theme="9" tint="0.79998168889431442"/>
        <bgColor rgb="FFFFF2C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rgb="FFCFE2F3"/>
      </patternFill>
    </fill>
    <fill>
      <patternFill patternType="solid">
        <fgColor rgb="FFE2B6E4"/>
        <bgColor rgb="FFCFE2F3"/>
      </patternFill>
    </fill>
    <fill>
      <patternFill patternType="solid">
        <fgColor rgb="FFF5E6F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B7B7B7"/>
        <bgColor rgb="FFB7B7B7"/>
      </patternFill>
    </fill>
    <fill>
      <patternFill patternType="solid">
        <fgColor rgb="FFFFFF00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indexed="64"/>
      </right>
      <top/>
      <bottom/>
      <diagonal/>
    </border>
    <border>
      <left style="medium">
        <color theme="0" tint="-0.249977111117893"/>
      </left>
      <right style="thin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87">
    <xf numFmtId="0" fontId="0" fillId="0" borderId="0" xfId="0"/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5" borderId="0" xfId="0" applyFont="1" applyFill="1"/>
    <xf numFmtId="0" fontId="2" fillId="5" borderId="0" xfId="0" applyFont="1" applyFill="1"/>
    <xf numFmtId="0" fontId="5" fillId="6" borderId="0" xfId="0" applyFont="1" applyFill="1"/>
    <xf numFmtId="0" fontId="6" fillId="6" borderId="0" xfId="0" applyFont="1" applyFill="1"/>
    <xf numFmtId="164" fontId="2" fillId="0" borderId="0" xfId="0" applyNumberFormat="1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3" borderId="10" xfId="0" applyFont="1" applyFill="1" applyBorder="1" applyAlignment="1">
      <alignment vertical="center"/>
    </xf>
    <xf numFmtId="0" fontId="2" fillId="3" borderId="9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3" borderId="4" xfId="0" applyFont="1" applyFill="1" applyBorder="1" applyAlignment="1">
      <alignment vertical="center"/>
    </xf>
    <xf numFmtId="20" fontId="1" fillId="5" borderId="0" xfId="0" applyNumberFormat="1" applyFont="1" applyFill="1"/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8" xfId="0" applyFont="1" applyFill="1" applyBorder="1" applyAlignment="1">
      <alignment vertical="center"/>
    </xf>
    <xf numFmtId="0" fontId="2" fillId="3" borderId="6" xfId="0" applyFont="1" applyFill="1" applyBorder="1" applyAlignment="1">
      <alignment vertical="center"/>
    </xf>
    <xf numFmtId="0" fontId="2" fillId="3" borderId="7" xfId="0" applyFont="1" applyFill="1" applyBorder="1" applyAlignment="1">
      <alignment vertical="center"/>
    </xf>
    <xf numFmtId="164" fontId="2" fillId="4" borderId="3" xfId="0" applyNumberFormat="1" applyFont="1" applyFill="1" applyBorder="1" applyAlignment="1">
      <alignment horizontal="right" vertical="center"/>
    </xf>
    <xf numFmtId="164" fontId="2" fillId="4" borderId="14" xfId="0" applyNumberFormat="1" applyFont="1" applyFill="1" applyBorder="1" applyAlignment="1">
      <alignment horizontal="right" vertical="center"/>
    </xf>
    <xf numFmtId="0" fontId="12" fillId="0" borderId="10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/>
    </xf>
    <xf numFmtId="16" fontId="1" fillId="0" borderId="11" xfId="0" applyNumberFormat="1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6" fontId="1" fillId="0" borderId="5" xfId="0" applyNumberFormat="1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16" fontId="1" fillId="0" borderId="7" xfId="0" applyNumberFormat="1" applyFont="1" applyBorder="1" applyAlignment="1">
      <alignment horizontal="center" vertical="center"/>
    </xf>
    <xf numFmtId="15" fontId="13" fillId="0" borderId="1" xfId="0" applyNumberFormat="1" applyFont="1" applyBorder="1" applyAlignment="1">
      <alignment horizontal="center" vertical="center" wrapText="1"/>
    </xf>
    <xf numFmtId="165" fontId="13" fillId="0" borderId="2" xfId="0" applyNumberFormat="1" applyFont="1" applyBorder="1" applyAlignment="1">
      <alignment horizontal="center" vertical="center" wrapText="1"/>
    </xf>
    <xf numFmtId="0" fontId="14" fillId="0" borderId="3" xfId="1" applyFont="1" applyFill="1" applyBorder="1" applyAlignment="1">
      <alignment horizontal="center" vertical="center" wrapText="1"/>
    </xf>
    <xf numFmtId="15" fontId="13" fillId="0" borderId="4" xfId="0" applyNumberFormat="1" applyFont="1" applyBorder="1" applyAlignment="1">
      <alignment horizontal="center" vertical="center" wrapText="1"/>
    </xf>
    <xf numFmtId="165" fontId="13" fillId="0" borderId="0" xfId="0" applyNumberFormat="1" applyFont="1" applyAlignment="1">
      <alignment horizontal="center" vertical="center" wrapText="1"/>
    </xf>
    <xf numFmtId="0" fontId="14" fillId="0" borderId="5" xfId="1" applyFont="1" applyFill="1" applyBorder="1" applyAlignment="1">
      <alignment horizontal="center" vertical="center" wrapText="1"/>
    </xf>
    <xf numFmtId="15" fontId="13" fillId="0" borderId="8" xfId="0" applyNumberFormat="1" applyFont="1" applyBorder="1" applyAlignment="1">
      <alignment horizontal="center" vertical="center" wrapText="1"/>
    </xf>
    <xf numFmtId="165" fontId="13" fillId="0" borderId="6" xfId="0" applyNumberFormat="1" applyFont="1" applyBorder="1" applyAlignment="1">
      <alignment horizontal="center" vertical="center" wrapText="1"/>
    </xf>
    <xf numFmtId="0" fontId="14" fillId="0" borderId="7" xfId="1" applyFont="1" applyFill="1" applyBorder="1" applyAlignment="1">
      <alignment horizontal="center" vertical="center" wrapText="1"/>
    </xf>
    <xf numFmtId="0" fontId="2" fillId="0" borderId="0" xfId="0" applyFont="1"/>
    <xf numFmtId="0" fontId="19" fillId="10" borderId="23" xfId="0" applyFont="1" applyFill="1" applyBorder="1" applyAlignment="1">
      <alignment horizontal="center" vertical="center"/>
    </xf>
    <xf numFmtId="0" fontId="20" fillId="10" borderId="23" xfId="0" applyFont="1" applyFill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4" borderId="0" xfId="0" applyFont="1" applyFill="1" applyAlignment="1">
      <alignment horizontal="center" vertical="center"/>
    </xf>
    <xf numFmtId="0" fontId="9" fillId="4" borderId="2" xfId="0" applyFont="1" applyFill="1" applyBorder="1" applyAlignment="1">
      <alignment vertical="center"/>
    </xf>
    <xf numFmtId="164" fontId="2" fillId="4" borderId="0" xfId="0" applyNumberFormat="1" applyFont="1" applyFill="1" applyAlignment="1">
      <alignment horizontal="center" vertical="center"/>
    </xf>
    <xf numFmtId="0" fontId="1" fillId="20" borderId="32" xfId="0" applyFont="1" applyFill="1" applyBorder="1" applyAlignment="1">
      <alignment horizontal="center" vertical="center"/>
    </xf>
    <xf numFmtId="0" fontId="3" fillId="10" borderId="32" xfId="0" applyFont="1" applyFill="1" applyBorder="1" applyAlignment="1">
      <alignment horizontal="center" vertical="center" wrapText="1"/>
    </xf>
    <xf numFmtId="0" fontId="3" fillId="10" borderId="32" xfId="0" applyFont="1" applyFill="1" applyBorder="1" applyAlignment="1">
      <alignment horizontal="center" vertical="center"/>
    </xf>
    <xf numFmtId="14" fontId="3" fillId="10" borderId="32" xfId="0" applyNumberFormat="1" applyFont="1" applyFill="1" applyBorder="1" applyAlignment="1">
      <alignment horizontal="center" vertical="center" wrapText="1"/>
    </xf>
    <xf numFmtId="0" fontId="3" fillId="22" borderId="32" xfId="0" applyFont="1" applyFill="1" applyBorder="1" applyAlignment="1">
      <alignment horizontal="center" vertical="center"/>
    </xf>
    <xf numFmtId="0" fontId="3" fillId="22" borderId="37" xfId="0" applyFont="1" applyFill="1" applyBorder="1" applyAlignment="1">
      <alignment horizontal="center" vertical="center"/>
    </xf>
    <xf numFmtId="0" fontId="1" fillId="21" borderId="36" xfId="0" applyFont="1" applyFill="1" applyBorder="1" applyAlignment="1">
      <alignment horizontal="center" vertical="center"/>
    </xf>
    <xf numFmtId="14" fontId="3" fillId="0" borderId="32" xfId="0" applyNumberFormat="1" applyFont="1" applyBorder="1" applyAlignment="1">
      <alignment horizontal="center" vertical="center"/>
    </xf>
    <xf numFmtId="167" fontId="3" fillId="10" borderId="32" xfId="0" applyNumberFormat="1" applyFont="1" applyFill="1" applyBorder="1" applyAlignment="1">
      <alignment horizontal="center" vertical="center"/>
    </xf>
    <xf numFmtId="14" fontId="3" fillId="22" borderId="37" xfId="0" applyNumberFormat="1" applyFont="1" applyFill="1" applyBorder="1" applyAlignment="1">
      <alignment horizontal="center" vertical="center" wrapText="1"/>
    </xf>
    <xf numFmtId="0" fontId="23" fillId="22" borderId="37" xfId="1" applyFont="1" applyFill="1" applyBorder="1" applyAlignment="1">
      <alignment horizontal="center" vertical="center"/>
    </xf>
    <xf numFmtId="168" fontId="3" fillId="22" borderId="37" xfId="0" applyNumberFormat="1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5" fillId="26" borderId="32" xfId="0" applyFont="1" applyFill="1" applyBorder="1" applyAlignment="1">
      <alignment horizontal="center" vertical="center"/>
    </xf>
    <xf numFmtId="0" fontId="27" fillId="27" borderId="32" xfId="0" applyFont="1" applyFill="1" applyBorder="1" applyAlignment="1">
      <alignment horizontal="center" vertical="center"/>
    </xf>
    <xf numFmtId="0" fontId="28" fillId="27" borderId="32" xfId="0" applyFont="1" applyFill="1" applyBorder="1" applyAlignment="1">
      <alignment horizontal="center" vertical="center"/>
    </xf>
    <xf numFmtId="170" fontId="28" fillId="27" borderId="32" xfId="0" applyNumberFormat="1" applyFont="1" applyFill="1" applyBorder="1" applyAlignment="1">
      <alignment horizontal="center" vertical="center"/>
    </xf>
    <xf numFmtId="0" fontId="21" fillId="25" borderId="32" xfId="0" applyFont="1" applyFill="1" applyBorder="1" applyAlignment="1">
      <alignment horizontal="center" vertical="center"/>
    </xf>
    <xf numFmtId="167" fontId="28" fillId="24" borderId="32" xfId="0" applyNumberFormat="1" applyFont="1" applyFill="1" applyBorder="1" applyAlignment="1">
      <alignment horizontal="center" vertical="center"/>
    </xf>
    <xf numFmtId="169" fontId="28" fillId="24" borderId="32" xfId="0" applyNumberFormat="1" applyFont="1" applyFill="1" applyBorder="1" applyAlignment="1">
      <alignment horizontal="center" vertical="center"/>
    </xf>
    <xf numFmtId="49" fontId="28" fillId="24" borderId="32" xfId="0" applyNumberFormat="1" applyFont="1" applyFill="1" applyBorder="1" applyAlignment="1">
      <alignment horizontal="center" vertical="center" wrapText="1"/>
    </xf>
    <xf numFmtId="49" fontId="27" fillId="24" borderId="32" xfId="0" applyNumberFormat="1" applyFont="1" applyFill="1" applyBorder="1" applyAlignment="1">
      <alignment horizontal="center" vertical="center"/>
    </xf>
    <xf numFmtId="1" fontId="28" fillId="24" borderId="32" xfId="0" applyNumberFormat="1" applyFont="1" applyFill="1" applyBorder="1" applyAlignment="1">
      <alignment horizontal="center" vertical="center"/>
    </xf>
    <xf numFmtId="49" fontId="28" fillId="24" borderId="32" xfId="0" applyNumberFormat="1" applyFont="1" applyFill="1" applyBorder="1" applyAlignment="1">
      <alignment horizontal="center" vertical="center"/>
    </xf>
    <xf numFmtId="1" fontId="28" fillId="27" borderId="32" xfId="0" applyNumberFormat="1" applyFont="1" applyFill="1" applyBorder="1" applyAlignment="1">
      <alignment horizontal="center" vertical="center"/>
    </xf>
    <xf numFmtId="171" fontId="28" fillId="27" borderId="32" xfId="0" applyNumberFormat="1" applyFont="1" applyFill="1" applyBorder="1" applyAlignment="1">
      <alignment horizontal="center" vertical="center"/>
    </xf>
    <xf numFmtId="0" fontId="1" fillId="29" borderId="39" xfId="0" applyFont="1" applyFill="1" applyBorder="1" applyAlignment="1">
      <alignment horizontal="center" vertical="center"/>
    </xf>
    <xf numFmtId="0" fontId="1" fillId="4" borderId="39" xfId="0" applyFont="1" applyFill="1" applyBorder="1" applyAlignment="1">
      <alignment horizontal="center" vertical="center"/>
    </xf>
    <xf numFmtId="0" fontId="34" fillId="0" borderId="0" xfId="0" applyFont="1"/>
    <xf numFmtId="0" fontId="35" fillId="10" borderId="23" xfId="0" applyFont="1" applyFill="1" applyBorder="1" applyAlignment="1">
      <alignment horizontal="center" vertical="center"/>
    </xf>
    <xf numFmtId="0" fontId="36" fillId="10" borderId="23" xfId="0" applyFont="1" applyFill="1" applyBorder="1" applyAlignment="1">
      <alignment horizontal="center" vertical="center"/>
    </xf>
    <xf numFmtId="0" fontId="35" fillId="0" borderId="23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34" fillId="0" borderId="27" xfId="0" applyFont="1" applyBorder="1" applyAlignment="1">
      <alignment horizontal="center" vertical="center"/>
    </xf>
    <xf numFmtId="0" fontId="34" fillId="0" borderId="24" xfId="0" applyFont="1" applyBorder="1" applyAlignment="1">
      <alignment horizontal="center" vertical="center"/>
    </xf>
    <xf numFmtId="0" fontId="35" fillId="0" borderId="31" xfId="0" applyFont="1" applyBorder="1" applyAlignment="1">
      <alignment horizontal="center" vertical="center"/>
    </xf>
    <xf numFmtId="0" fontId="35" fillId="0" borderId="30" xfId="0" applyFont="1" applyBorder="1" applyAlignment="1">
      <alignment horizontal="center" vertical="center"/>
    </xf>
    <xf numFmtId="0" fontId="1" fillId="31" borderId="0" xfId="0" applyFont="1" applyFill="1" applyAlignment="1">
      <alignment horizontal="center" vertical="center" wrapText="1"/>
    </xf>
    <xf numFmtId="0" fontId="35" fillId="0" borderId="26" xfId="0" applyFont="1" applyBorder="1" applyAlignment="1">
      <alignment horizontal="center" vertical="center" wrapText="1"/>
    </xf>
    <xf numFmtId="0" fontId="17" fillId="11" borderId="24" xfId="0" applyFont="1" applyFill="1" applyBorder="1" applyAlignment="1">
      <alignment horizontal="center" vertical="center"/>
    </xf>
    <xf numFmtId="0" fontId="34" fillId="19" borderId="24" xfId="0" applyFont="1" applyFill="1" applyBorder="1" applyAlignment="1">
      <alignment horizontal="center" vertical="center"/>
    </xf>
    <xf numFmtId="0" fontId="35" fillId="16" borderId="24" xfId="0" applyFont="1" applyFill="1" applyBorder="1" applyAlignment="1">
      <alignment horizontal="center" vertical="center" wrapText="1"/>
    </xf>
    <xf numFmtId="0" fontId="33" fillId="12" borderId="24" xfId="0" applyFont="1" applyFill="1" applyBorder="1" applyAlignment="1">
      <alignment horizontal="center" vertical="center"/>
    </xf>
    <xf numFmtId="166" fontId="33" fillId="9" borderId="20" xfId="0" applyNumberFormat="1" applyFont="1" applyFill="1" applyBorder="1" applyAlignment="1">
      <alignment horizontal="center" vertical="center"/>
    </xf>
    <xf numFmtId="0" fontId="35" fillId="13" borderId="25" xfId="0" applyFont="1" applyFill="1" applyBorder="1" applyAlignment="1">
      <alignment horizontal="center" vertical="center" wrapText="1"/>
    </xf>
    <xf numFmtId="0" fontId="35" fillId="17" borderId="26" xfId="0" applyFont="1" applyFill="1" applyBorder="1" applyAlignment="1">
      <alignment horizontal="center" vertical="center" wrapText="1"/>
    </xf>
    <xf numFmtId="0" fontId="35" fillId="14" borderId="26" xfId="0" applyFont="1" applyFill="1" applyBorder="1" applyAlignment="1">
      <alignment horizontal="center" vertical="center" wrapText="1"/>
    </xf>
    <xf numFmtId="0" fontId="35" fillId="18" borderId="50" xfId="0" applyFont="1" applyFill="1" applyBorder="1" applyAlignment="1">
      <alignment horizontal="center" vertical="center" wrapText="1"/>
    </xf>
    <xf numFmtId="0" fontId="35" fillId="18" borderId="51" xfId="0" applyFont="1" applyFill="1" applyBorder="1" applyAlignment="1">
      <alignment horizontal="center" vertical="center" wrapText="1"/>
    </xf>
    <xf numFmtId="0" fontId="35" fillId="18" borderId="31" xfId="0" applyFont="1" applyFill="1" applyBorder="1" applyAlignment="1">
      <alignment horizontal="center" vertical="center" wrapText="1"/>
    </xf>
    <xf numFmtId="0" fontId="35" fillId="18" borderId="28" xfId="0" applyFont="1" applyFill="1" applyBorder="1" applyAlignment="1">
      <alignment horizontal="center" vertical="center" wrapText="1"/>
    </xf>
    <xf numFmtId="0" fontId="35" fillId="18" borderId="52" xfId="0" applyFont="1" applyFill="1" applyBorder="1" applyAlignment="1">
      <alignment horizontal="center" vertical="center" wrapText="1"/>
    </xf>
    <xf numFmtId="0" fontId="35" fillId="18" borderId="30" xfId="0" applyFont="1" applyFill="1" applyBorder="1" applyAlignment="1">
      <alignment horizontal="center" vertical="center" wrapText="1"/>
    </xf>
    <xf numFmtId="0" fontId="35" fillId="14" borderId="50" xfId="0" applyFont="1" applyFill="1" applyBorder="1" applyAlignment="1">
      <alignment horizontal="center" vertical="center" wrapText="1"/>
    </xf>
    <xf numFmtId="0" fontId="35" fillId="14" borderId="31" xfId="0" applyFont="1" applyFill="1" applyBorder="1" applyAlignment="1">
      <alignment horizontal="center" vertical="center" wrapText="1"/>
    </xf>
    <xf numFmtId="0" fontId="35" fillId="14" borderId="28" xfId="0" applyFont="1" applyFill="1" applyBorder="1" applyAlignment="1">
      <alignment horizontal="center" vertical="center" wrapText="1"/>
    </xf>
    <xf numFmtId="0" fontId="35" fillId="14" borderId="30" xfId="0" applyFont="1" applyFill="1" applyBorder="1" applyAlignment="1">
      <alignment horizontal="center" vertical="center" wrapText="1"/>
    </xf>
    <xf numFmtId="0" fontId="35" fillId="18" borderId="25" xfId="0" applyFont="1" applyFill="1" applyBorder="1" applyAlignment="1">
      <alignment horizontal="center" vertical="center" wrapText="1"/>
    </xf>
    <xf numFmtId="0" fontId="35" fillId="17" borderId="50" xfId="0" applyFont="1" applyFill="1" applyBorder="1" applyAlignment="1">
      <alignment horizontal="center" vertical="center" wrapText="1"/>
    </xf>
    <xf numFmtId="0" fontId="35" fillId="17" borderId="31" xfId="0" applyFont="1" applyFill="1" applyBorder="1" applyAlignment="1">
      <alignment horizontal="center" vertical="center" wrapText="1"/>
    </xf>
    <xf numFmtId="0" fontId="35" fillId="17" borderId="28" xfId="0" applyFont="1" applyFill="1" applyBorder="1" applyAlignment="1">
      <alignment horizontal="center" vertical="center" wrapText="1"/>
    </xf>
    <xf numFmtId="0" fontId="35" fillId="17" borderId="30" xfId="0" applyFont="1" applyFill="1" applyBorder="1" applyAlignment="1">
      <alignment horizontal="center" vertical="center" wrapText="1"/>
    </xf>
    <xf numFmtId="0" fontId="37" fillId="30" borderId="24" xfId="0" applyFont="1" applyFill="1" applyBorder="1" applyAlignment="1">
      <alignment horizontal="center" vertical="center" wrapText="1"/>
    </xf>
    <xf numFmtId="0" fontId="35" fillId="18" borderId="26" xfId="0" applyFont="1" applyFill="1" applyBorder="1" applyAlignment="1">
      <alignment horizontal="center" vertical="center" wrapText="1"/>
    </xf>
    <xf numFmtId="0" fontId="15" fillId="15" borderId="25" xfId="0" applyFont="1" applyFill="1" applyBorder="1" applyAlignment="1">
      <alignment horizontal="center" vertical="center" wrapText="1"/>
    </xf>
    <xf numFmtId="0" fontId="19" fillId="16" borderId="24" xfId="0" applyFont="1" applyFill="1" applyBorder="1" applyAlignment="1">
      <alignment horizontal="center" vertical="center" wrapText="1"/>
    </xf>
    <xf numFmtId="0" fontId="15" fillId="15" borderId="26" xfId="0" applyFont="1" applyFill="1" applyBorder="1" applyAlignment="1">
      <alignment horizontal="center" vertical="center" wrapText="1"/>
    </xf>
    <xf numFmtId="0" fontId="15" fillId="5" borderId="24" xfId="0" applyFont="1" applyFill="1" applyBorder="1" applyAlignment="1">
      <alignment horizontal="center" vertical="center"/>
    </xf>
    <xf numFmtId="166" fontId="18" fillId="9" borderId="20" xfId="0" applyNumberFormat="1" applyFont="1" applyFill="1" applyBorder="1" applyAlignment="1">
      <alignment horizontal="center" vertical="center"/>
    </xf>
    <xf numFmtId="0" fontId="18" fillId="12" borderId="24" xfId="0" applyFont="1" applyFill="1" applyBorder="1" applyAlignment="1">
      <alignment horizontal="center" vertical="center"/>
    </xf>
    <xf numFmtId="0" fontId="15" fillId="13" borderId="25" xfId="0" applyFont="1" applyFill="1" applyBorder="1" applyAlignment="1">
      <alignment horizontal="center" vertical="center" wrapText="1"/>
    </xf>
    <xf numFmtId="0" fontId="15" fillId="14" borderId="26" xfId="0" applyFont="1" applyFill="1" applyBorder="1" applyAlignment="1">
      <alignment horizontal="center" vertical="center" wrapText="1"/>
    </xf>
    <xf numFmtId="0" fontId="15" fillId="17" borderId="26" xfId="0" applyFont="1" applyFill="1" applyBorder="1" applyAlignment="1">
      <alignment horizontal="center" vertical="center" wrapText="1"/>
    </xf>
    <xf numFmtId="0" fontId="15" fillId="18" borderId="26" xfId="0" applyFont="1" applyFill="1" applyBorder="1" applyAlignment="1">
      <alignment horizontal="center" vertical="center" wrapText="1"/>
    </xf>
    <xf numFmtId="0" fontId="15" fillId="18" borderId="25" xfId="0" applyFont="1" applyFill="1" applyBorder="1" applyAlignment="1">
      <alignment horizontal="center" vertical="center" wrapText="1"/>
    </xf>
    <xf numFmtId="0" fontId="0" fillId="19" borderId="24" xfId="0" applyFill="1" applyBorder="1" applyAlignment="1">
      <alignment horizontal="center" vertical="center"/>
    </xf>
    <xf numFmtId="0" fontId="35" fillId="5" borderId="24" xfId="0" applyFont="1" applyFill="1" applyBorder="1" applyAlignment="1">
      <alignment horizontal="center" vertical="center"/>
    </xf>
    <xf numFmtId="0" fontId="35" fillId="16" borderId="27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left" vertical="center"/>
    </xf>
    <xf numFmtId="0" fontId="2" fillId="4" borderId="13" xfId="0" applyFont="1" applyFill="1" applyBorder="1" applyAlignment="1">
      <alignment horizontal="left" vertical="center"/>
    </xf>
    <xf numFmtId="0" fontId="9" fillId="7" borderId="18" xfId="0" applyFont="1" applyFill="1" applyBorder="1" applyAlignment="1">
      <alignment horizontal="center" vertical="center"/>
    </xf>
    <xf numFmtId="0" fontId="9" fillId="7" borderId="19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14" fontId="2" fillId="4" borderId="12" xfId="0" applyNumberFormat="1" applyFont="1" applyFill="1" applyBorder="1" applyAlignment="1">
      <alignment horizontal="left" vertical="center"/>
    </xf>
    <xf numFmtId="14" fontId="2" fillId="4" borderId="13" xfId="0" applyNumberFormat="1" applyFont="1" applyFill="1" applyBorder="1" applyAlignment="1">
      <alignment horizontal="left" vertical="center"/>
    </xf>
    <xf numFmtId="17" fontId="8" fillId="8" borderId="15" xfId="0" applyNumberFormat="1" applyFont="1" applyFill="1" applyBorder="1" applyAlignment="1">
      <alignment horizontal="left" vertical="center" indent="3"/>
    </xf>
    <xf numFmtId="17" fontId="8" fillId="8" borderId="16" xfId="0" applyNumberFormat="1" applyFont="1" applyFill="1" applyBorder="1" applyAlignment="1">
      <alignment horizontal="left" vertical="center" indent="3"/>
    </xf>
    <xf numFmtId="0" fontId="9" fillId="0" borderId="16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21" fillId="20" borderId="33" xfId="0" applyFont="1" applyFill="1" applyBorder="1" applyAlignment="1">
      <alignment horizontal="left" vertical="center"/>
    </xf>
    <xf numFmtId="0" fontId="21" fillId="20" borderId="34" xfId="0" applyFont="1" applyFill="1" applyBorder="1" applyAlignment="1">
      <alignment horizontal="left" vertical="center"/>
    </xf>
    <xf numFmtId="0" fontId="21" fillId="20" borderId="35" xfId="0" applyFont="1" applyFill="1" applyBorder="1" applyAlignment="1">
      <alignment horizontal="left" vertical="center"/>
    </xf>
    <xf numFmtId="0" fontId="21" fillId="21" borderId="36" xfId="0" applyFont="1" applyFill="1" applyBorder="1" applyAlignment="1">
      <alignment horizontal="left" vertical="center"/>
    </xf>
    <xf numFmtId="0" fontId="22" fillId="0" borderId="38" xfId="0" applyFont="1" applyBorder="1" applyAlignment="1">
      <alignment horizontal="center" vertical="center"/>
    </xf>
    <xf numFmtId="0" fontId="1" fillId="23" borderId="39" xfId="0" applyFont="1" applyFill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31" fillId="0" borderId="49" xfId="0" applyFont="1" applyBorder="1" applyAlignment="1">
      <alignment horizontal="left" vertical="center" wrapText="1" indent="3"/>
    </xf>
    <xf numFmtId="0" fontId="31" fillId="0" borderId="0" xfId="0" applyFont="1" applyAlignment="1">
      <alignment horizontal="left" vertical="center" wrapText="1" indent="3"/>
    </xf>
    <xf numFmtId="0" fontId="22" fillId="0" borderId="40" xfId="0" applyFont="1" applyBorder="1" applyAlignment="1">
      <alignment horizontal="center" vertical="center"/>
    </xf>
    <xf numFmtId="0" fontId="30" fillId="23" borderId="39" xfId="0" applyFont="1" applyFill="1" applyBorder="1" applyAlignment="1">
      <alignment horizontal="center" vertical="center"/>
    </xf>
    <xf numFmtId="0" fontId="22" fillId="23" borderId="39" xfId="0" applyFont="1" applyFill="1" applyBorder="1" applyAlignment="1">
      <alignment horizontal="left" vertical="center" wrapText="1" indent="6"/>
    </xf>
    <xf numFmtId="0" fontId="29" fillId="28" borderId="41" xfId="0" applyFont="1" applyFill="1" applyBorder="1" applyAlignment="1">
      <alignment horizontal="center" vertical="center"/>
    </xf>
    <xf numFmtId="0" fontId="29" fillId="28" borderId="42" xfId="0" applyFont="1" applyFill="1" applyBorder="1" applyAlignment="1">
      <alignment horizontal="center" vertical="center"/>
    </xf>
    <xf numFmtId="0" fontId="29" fillId="28" borderId="43" xfId="0" applyFont="1" applyFill="1" applyBorder="1" applyAlignment="1">
      <alignment horizontal="center" vertical="center"/>
    </xf>
    <xf numFmtId="1" fontId="9" fillId="24" borderId="44" xfId="0" applyNumberFormat="1" applyFont="1" applyFill="1" applyBorder="1" applyAlignment="1">
      <alignment horizontal="center" vertical="center"/>
    </xf>
    <xf numFmtId="1" fontId="9" fillId="24" borderId="32" xfId="0" applyNumberFormat="1" applyFont="1" applyFill="1" applyBorder="1" applyAlignment="1">
      <alignment horizontal="center" vertical="center"/>
    </xf>
    <xf numFmtId="1" fontId="9" fillId="24" borderId="45" xfId="0" applyNumberFormat="1" applyFont="1" applyFill="1" applyBorder="1" applyAlignment="1">
      <alignment horizontal="center" vertical="center"/>
    </xf>
    <xf numFmtId="1" fontId="9" fillId="27" borderId="46" xfId="0" applyNumberFormat="1" applyFont="1" applyFill="1" applyBorder="1" applyAlignment="1">
      <alignment horizontal="center" vertical="center"/>
    </xf>
    <xf numFmtId="1" fontId="9" fillId="27" borderId="47" xfId="0" applyNumberFormat="1" applyFont="1" applyFill="1" applyBorder="1" applyAlignment="1">
      <alignment horizontal="center" vertical="center"/>
    </xf>
    <xf numFmtId="1" fontId="9" fillId="27" borderId="48" xfId="0" applyNumberFormat="1" applyFont="1" applyFill="1" applyBorder="1" applyAlignment="1">
      <alignment horizontal="center" vertical="center"/>
    </xf>
    <xf numFmtId="0" fontId="16" fillId="0" borderId="21" xfId="0" applyFont="1" applyBorder="1" applyAlignment="1"/>
    <xf numFmtId="0" fontId="16" fillId="0" borderId="22" xfId="0" applyFont="1" applyBorder="1" applyAlignment="1"/>
    <xf numFmtId="0" fontId="16" fillId="0" borderId="27" xfId="0" applyFont="1" applyBorder="1" applyAlignment="1"/>
    <xf numFmtId="0" fontId="16" fillId="0" borderId="26" xfId="0" applyFont="1" applyBorder="1" applyAlignment="1"/>
    <xf numFmtId="0" fontId="16" fillId="0" borderId="28" xfId="0" applyFont="1" applyBorder="1" applyAlignment="1"/>
    <xf numFmtId="0" fontId="16" fillId="0" borderId="29" xfId="0" applyFont="1" applyBorder="1" applyAlignment="1"/>
    <xf numFmtId="0" fontId="16" fillId="0" borderId="30" xfId="0" applyFont="1" applyBorder="1" applyAlignment="1"/>
  </cellXfs>
  <cellStyles count="2">
    <cellStyle name="Hyperlink" xfId="1" builtinId="8"/>
    <cellStyle name="Normal" xfId="0" builtinId="0"/>
  </cellStyles>
  <dxfs count="2262"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ill>
        <patternFill>
          <bgColor theme="7" tint="0.5999633777886288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rgb="FFC53186"/>
      </font>
      <fill>
        <patternFill>
          <bgColor rgb="FFC53186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C53186"/>
      </font>
      <fill>
        <patternFill>
          <bgColor rgb="FFC53186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rgb="FFC53186"/>
      </font>
      <fill>
        <patternFill>
          <bgColor rgb="FFC53186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rgb="FFC53186"/>
      </font>
      <fill>
        <patternFill>
          <bgColor rgb="FFC53186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rgb="FFC53186"/>
      </font>
      <fill>
        <patternFill>
          <bgColor rgb="FFC53186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</dxfs>
  <tableStyles count="0" defaultTableStyle="TableStyleMedium2" defaultPivotStyle="PivotStyleLight16"/>
  <colors>
    <mruColors>
      <color rgb="FFF5E6F6"/>
      <color rgb="FFE2B6E4"/>
      <color rgb="FFC53186"/>
      <color rgb="FFEA5463"/>
      <color rgb="FFFF575B"/>
      <color rgb="FFC53168"/>
      <color rgb="FFFFED6B"/>
      <color rgb="FF9DEB37"/>
      <color rgb="FF976BE8"/>
      <color rgb="FFE97C9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15" fmlaLink="$AN$2" max="2033" min="2023" page="10" val="2023"/>
</file>

<file path=xl/ctrlProps/ctrlProp2.xml><?xml version="1.0" encoding="utf-8"?>
<formControlPr xmlns="http://schemas.microsoft.com/office/spreadsheetml/2009/9/main" objectType="Spin" dx="15" fmlaLink="$AN$5" max="12" min="1" page="10" val="8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15" fmlaLink="$AN$2" max="2033" min="2023" page="10" val="2023"/>
</file>

<file path=xl/ctrlProps/ctrlProp5.xml><?xml version="1.0" encoding="utf-8"?>
<formControlPr xmlns="http://schemas.microsoft.com/office/spreadsheetml/2009/9/main" objectType="Spin" dx="15" fmlaLink="$AN$5" max="12" min="1" page="10" val="7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pin" dx="15" fmlaLink="$AN$2" max="2033" min="2023" page="10" val="2023"/>
</file>

<file path=xl/ctrlProps/ctrlProp8.xml><?xml version="1.0" encoding="utf-8"?>
<formControlPr xmlns="http://schemas.microsoft.com/office/spreadsheetml/2009/9/main" objectType="Spin" dx="15" fmlaLink="$AN$5" max="12" min="1" page="10" val="9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Spin" dx="15" fmlaLink="$R$9" max="2033" min="2023" page="10" val="2023"/>
</file>

<file path=xl/ctrlProps/ctrlProp15.xml><?xml version="1.0" encoding="utf-8"?>
<formControlPr xmlns="http://schemas.microsoft.com/office/spreadsheetml/2009/9/main" objectType="Spin" dx="15" fmlaLink="$R$11" max="12" min="1" page="10" val="7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Spin" dx="15" fmlaLink="$C$2" max="2033" min="2023" page="10" val="2023"/>
</file>

<file path=xl/ctrlProps/ctrlProp19.xml><?xml version="1.0" encoding="utf-8"?>
<formControlPr xmlns="http://schemas.microsoft.com/office/spreadsheetml/2009/9/main" objectType="Spin" dx="15" fmlaLink="$C$3" max="12" min="1" page="10" val="7"/>
</file>

<file path=xl/ctrlProps/ctrlProp20.xml><?xml version="1.0" encoding="utf-8"?>
<formControlPr xmlns="http://schemas.microsoft.com/office/spreadsheetml/2009/9/main" objectType="Spin" dx="15" fmlaLink="$AN$2" max="2033" min="2023" page="10" val="2023"/>
</file>

<file path=xl/ctrlProps/ctrlProp21.xml><?xml version="1.0" encoding="utf-8"?>
<formControlPr xmlns="http://schemas.microsoft.com/office/spreadsheetml/2009/9/main" objectType="Spin" dx="15" fmlaLink="$AN$5" max="12" min="1" page="10" val="9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0</xdr:colOff>
          <xdr:row>1</xdr:row>
          <xdr:rowOff>571500</xdr:rowOff>
        </xdr:from>
        <xdr:to>
          <xdr:col>41</xdr:col>
          <xdr:colOff>0</xdr:colOff>
          <xdr:row>3</xdr:row>
          <xdr:rowOff>0</xdr:rowOff>
        </xdr:to>
        <xdr:sp macro="" textlink="">
          <xdr:nvSpPr>
            <xdr:cNvPr id="24577" name="Spinner 1" descr="YEAR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904875</xdr:colOff>
          <xdr:row>4</xdr:row>
          <xdr:rowOff>0</xdr:rowOff>
        </xdr:from>
        <xdr:to>
          <xdr:col>40</xdr:col>
          <xdr:colOff>457200</xdr:colOff>
          <xdr:row>5</xdr:row>
          <xdr:rowOff>200025</xdr:rowOff>
        </xdr:to>
        <xdr:sp macro="" textlink="">
          <xdr:nvSpPr>
            <xdr:cNvPr id="24578" name="Spinner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1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419100</xdr:colOff>
          <xdr:row>1</xdr:row>
          <xdr:rowOff>9525</xdr:rowOff>
        </xdr:from>
        <xdr:to>
          <xdr:col>46</xdr:col>
          <xdr:colOff>342900</xdr:colOff>
          <xdr:row>3</xdr:row>
          <xdr:rowOff>123825</xdr:rowOff>
        </xdr:to>
        <xdr:sp macro="" textlink="">
          <xdr:nvSpPr>
            <xdr:cNvPr id="24579" name="Button 3" descr="GENERATE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1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US" sz="3000" b="0" i="0" u="none" strike="noStrike" baseline="0">
                  <a:solidFill>
                    <a:srgbClr val="FF6600"/>
                  </a:solidFill>
                  <a:latin typeface="Britannic Bold"/>
                </a:rPr>
                <a:t>GENERATE</a:t>
              </a:r>
            </a:p>
            <a:p>
              <a:pPr algn="ctr" rtl="0">
                <a:defRPr sz="1000"/>
              </a:pPr>
              <a:endParaRPr lang="en-US" sz="3000" b="0" i="0" u="none" strike="noStrike" baseline="0">
                <a:solidFill>
                  <a:srgbClr val="FF6600"/>
                </a:solidFill>
                <a:latin typeface="Britannic Bold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0</xdr:colOff>
          <xdr:row>1</xdr:row>
          <xdr:rowOff>571500</xdr:rowOff>
        </xdr:from>
        <xdr:to>
          <xdr:col>41</xdr:col>
          <xdr:colOff>0</xdr:colOff>
          <xdr:row>3</xdr:row>
          <xdr:rowOff>0</xdr:rowOff>
        </xdr:to>
        <xdr:sp macro="" textlink="">
          <xdr:nvSpPr>
            <xdr:cNvPr id="19457" name="Spinner 1" descr="YEAR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904875</xdr:colOff>
          <xdr:row>4</xdr:row>
          <xdr:rowOff>0</xdr:rowOff>
        </xdr:from>
        <xdr:to>
          <xdr:col>40</xdr:col>
          <xdr:colOff>457200</xdr:colOff>
          <xdr:row>5</xdr:row>
          <xdr:rowOff>200025</xdr:rowOff>
        </xdr:to>
        <xdr:sp macro="" textlink="">
          <xdr:nvSpPr>
            <xdr:cNvPr id="19458" name="Spinner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419100</xdr:colOff>
          <xdr:row>1</xdr:row>
          <xdr:rowOff>9525</xdr:rowOff>
        </xdr:from>
        <xdr:to>
          <xdr:col>46</xdr:col>
          <xdr:colOff>342900</xdr:colOff>
          <xdr:row>3</xdr:row>
          <xdr:rowOff>123825</xdr:rowOff>
        </xdr:to>
        <xdr:sp macro="" textlink="">
          <xdr:nvSpPr>
            <xdr:cNvPr id="19459" name="Button 3" descr="GENERATE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US" sz="3000" b="0" i="0" u="none" strike="noStrike" baseline="0">
                  <a:solidFill>
                    <a:srgbClr val="FF6600"/>
                  </a:solidFill>
                  <a:latin typeface="Britannic Bold"/>
                </a:rPr>
                <a:t>GENERATE</a:t>
              </a:r>
            </a:p>
            <a:p>
              <a:pPr algn="ctr" rtl="0">
                <a:defRPr sz="1000"/>
              </a:pPr>
              <a:endParaRPr lang="en-US" sz="3000" b="0" i="0" u="none" strike="noStrike" baseline="0">
                <a:solidFill>
                  <a:srgbClr val="FF6600"/>
                </a:solidFill>
                <a:latin typeface="Britannic Bold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0</xdr:colOff>
          <xdr:row>0</xdr:row>
          <xdr:rowOff>571500</xdr:rowOff>
        </xdr:from>
        <xdr:to>
          <xdr:col>41</xdr:col>
          <xdr:colOff>0</xdr:colOff>
          <xdr:row>3</xdr:row>
          <xdr:rowOff>0</xdr:rowOff>
        </xdr:to>
        <xdr:sp macro="" textlink="">
          <xdr:nvSpPr>
            <xdr:cNvPr id="1065" name="Spinner 41" descr="YEAR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3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904875</xdr:colOff>
          <xdr:row>4</xdr:row>
          <xdr:rowOff>0</xdr:rowOff>
        </xdr:from>
        <xdr:to>
          <xdr:col>40</xdr:col>
          <xdr:colOff>457200</xdr:colOff>
          <xdr:row>5</xdr:row>
          <xdr:rowOff>200025</xdr:rowOff>
        </xdr:to>
        <xdr:sp macro="" textlink="">
          <xdr:nvSpPr>
            <xdr:cNvPr id="1066" name="Spinner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3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419100</xdr:colOff>
          <xdr:row>1</xdr:row>
          <xdr:rowOff>9525</xdr:rowOff>
        </xdr:from>
        <xdr:to>
          <xdr:col>46</xdr:col>
          <xdr:colOff>342900</xdr:colOff>
          <xdr:row>3</xdr:row>
          <xdr:rowOff>123825</xdr:rowOff>
        </xdr:to>
        <xdr:sp macro="" textlink="">
          <xdr:nvSpPr>
            <xdr:cNvPr id="1067" name="Button 43" descr="GENERATE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3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US" sz="3000" b="0" i="0" u="none" strike="noStrike" baseline="0">
                  <a:solidFill>
                    <a:srgbClr val="FF6600"/>
                  </a:solidFill>
                  <a:latin typeface="Britannic Bold"/>
                </a:rPr>
                <a:t>GENERATE</a:t>
              </a:r>
            </a:p>
            <a:p>
              <a:pPr algn="ctr" rtl="0">
                <a:defRPr sz="1000"/>
              </a:pPr>
              <a:endParaRPr lang="en-US" sz="3000" b="0" i="0" u="none" strike="noStrike" baseline="0">
                <a:solidFill>
                  <a:srgbClr val="FF6600"/>
                </a:solidFill>
                <a:latin typeface="Britannic Bold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371475</xdr:colOff>
          <xdr:row>3</xdr:row>
          <xdr:rowOff>38100</xdr:rowOff>
        </xdr:from>
        <xdr:to>
          <xdr:col>0</xdr:col>
          <xdr:colOff>1562100</xdr:colOff>
          <xdr:row>4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/>
                </a:rPr>
                <a:t>List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/>
                </a:rPr>
                <a:t>Bookings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371475</xdr:colOff>
          <xdr:row>5</xdr:row>
          <xdr:rowOff>152400</xdr:rowOff>
        </xdr:from>
        <xdr:to>
          <xdr:col>0</xdr:col>
          <xdr:colOff>1562100</xdr:colOff>
          <xdr:row>8</xdr:row>
          <xdr:rowOff>104775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/>
                </a:rPr>
                <a:t>Clear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/>
                </a:rPr>
                <a:t>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266700</xdr:colOff>
          <xdr:row>3</xdr:row>
          <xdr:rowOff>28575</xdr:rowOff>
        </xdr:from>
        <xdr:to>
          <xdr:col>15</xdr:col>
          <xdr:colOff>1457325</xdr:colOff>
          <xdr:row>4</xdr:row>
          <xdr:rowOff>38100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4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/>
                </a:rPr>
                <a:t>Update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/>
                </a:rPr>
                <a:t>Calendar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266700</xdr:colOff>
          <xdr:row>8</xdr:row>
          <xdr:rowOff>28575</xdr:rowOff>
        </xdr:from>
        <xdr:to>
          <xdr:col>15</xdr:col>
          <xdr:colOff>1457325</xdr:colOff>
          <xdr:row>10</xdr:row>
          <xdr:rowOff>161925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4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/>
                </a:rPr>
                <a:t>Clear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/>
                </a:rPr>
                <a:t>Bookings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0</xdr:rowOff>
        </xdr:from>
        <xdr:to>
          <xdr:col>18</xdr:col>
          <xdr:colOff>447675</xdr:colOff>
          <xdr:row>10</xdr:row>
          <xdr:rowOff>0</xdr:rowOff>
        </xdr:to>
        <xdr:sp macro="" textlink="">
          <xdr:nvSpPr>
            <xdr:cNvPr id="6158" name="Spinner 14" descr="YEAR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4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10</xdr:row>
          <xdr:rowOff>0</xdr:rowOff>
        </xdr:from>
        <xdr:to>
          <xdr:col>18</xdr:col>
          <xdr:colOff>447675</xdr:colOff>
          <xdr:row>12</xdr:row>
          <xdr:rowOff>0</xdr:rowOff>
        </xdr:to>
        <xdr:sp macro="" textlink="">
          <xdr:nvSpPr>
            <xdr:cNvPr id="6159" name="Spinner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4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3</xdr:row>
          <xdr:rowOff>390525</xdr:rowOff>
        </xdr:from>
        <xdr:to>
          <xdr:col>3</xdr:col>
          <xdr:colOff>0</xdr:colOff>
          <xdr:row>5</xdr:row>
          <xdr:rowOff>66675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/>
                </a:rPr>
                <a:t>Export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/>
                </a:rPr>
                <a:t>Calendar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5</xdr:row>
          <xdr:rowOff>333375</xdr:rowOff>
        </xdr:from>
        <xdr:to>
          <xdr:col>3</xdr:col>
          <xdr:colOff>0</xdr:colOff>
          <xdr:row>6</xdr:row>
          <xdr:rowOff>428625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5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/>
                </a:rPr>
                <a:t>Clear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/>
                </a:rPr>
                <a:t>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1</xdr:row>
          <xdr:rowOff>0</xdr:rowOff>
        </xdr:from>
        <xdr:to>
          <xdr:col>3</xdr:col>
          <xdr:colOff>428625</xdr:colOff>
          <xdr:row>2</xdr:row>
          <xdr:rowOff>0</xdr:rowOff>
        </xdr:to>
        <xdr:sp macro="" textlink="">
          <xdr:nvSpPr>
            <xdr:cNvPr id="14340" name="Spinner 4" descr="YEAR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5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</xdr:row>
          <xdr:rowOff>9525</xdr:rowOff>
        </xdr:from>
        <xdr:to>
          <xdr:col>3</xdr:col>
          <xdr:colOff>428625</xdr:colOff>
          <xdr:row>3</xdr:row>
          <xdr:rowOff>0</xdr:rowOff>
        </xdr:to>
        <xdr:sp macro="" textlink="">
          <xdr:nvSpPr>
            <xdr:cNvPr id="14341" name="Spinner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5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0</xdr:colOff>
          <xdr:row>1</xdr:row>
          <xdr:rowOff>571500</xdr:rowOff>
        </xdr:from>
        <xdr:to>
          <xdr:col>41</xdr:col>
          <xdr:colOff>0</xdr:colOff>
          <xdr:row>3</xdr:row>
          <xdr:rowOff>0</xdr:rowOff>
        </xdr:to>
        <xdr:sp macro="" textlink="">
          <xdr:nvSpPr>
            <xdr:cNvPr id="16385" name="Spinner 1" descr="YEAR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904875</xdr:colOff>
          <xdr:row>4</xdr:row>
          <xdr:rowOff>0</xdr:rowOff>
        </xdr:from>
        <xdr:to>
          <xdr:col>40</xdr:col>
          <xdr:colOff>457200</xdr:colOff>
          <xdr:row>5</xdr:row>
          <xdr:rowOff>200025</xdr:rowOff>
        </xdr:to>
        <xdr:sp macro="" textlink="">
          <xdr:nvSpPr>
            <xdr:cNvPr id="16386" name="Spinner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7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419100</xdr:colOff>
          <xdr:row>1</xdr:row>
          <xdr:rowOff>9525</xdr:rowOff>
        </xdr:from>
        <xdr:to>
          <xdr:col>46</xdr:col>
          <xdr:colOff>342900</xdr:colOff>
          <xdr:row>3</xdr:row>
          <xdr:rowOff>114300</xdr:rowOff>
        </xdr:to>
        <xdr:sp macro="" textlink="">
          <xdr:nvSpPr>
            <xdr:cNvPr id="16387" name="Button 3" descr="GENERAT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7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US" sz="3000" b="0" i="0" u="none" strike="noStrike" baseline="0">
                  <a:solidFill>
                    <a:srgbClr val="FF6600"/>
                  </a:solidFill>
                  <a:latin typeface="Britannic Bold"/>
                </a:rPr>
                <a:t>GENERATE</a:t>
              </a:r>
            </a:p>
            <a:p>
              <a:pPr algn="ctr" rtl="0">
                <a:defRPr sz="1000"/>
              </a:pPr>
              <a:endParaRPr lang="en-US" sz="3000" b="0" i="0" u="none" strike="noStrike" baseline="0">
                <a:solidFill>
                  <a:srgbClr val="FF6600"/>
                </a:solidFill>
                <a:latin typeface="Britannic Bold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ctrlProp" Target="../ctrlProps/ctrlProp10.xml"/><Relationship Id="rId7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B7902-137A-447F-8BC0-86044ADF5A9E}">
  <sheetPr codeName="Sheet4">
    <tabColor theme="7" tint="0.59999389629810485"/>
  </sheetPr>
  <dimension ref="A1:F266"/>
  <sheetViews>
    <sheetView topLeftCell="A87" zoomScaleNormal="100" workbookViewId="0">
      <selection activeCell="D229" sqref="D229"/>
    </sheetView>
  </sheetViews>
  <sheetFormatPr defaultColWidth="8.875" defaultRowHeight="15.75"/>
  <cols>
    <col min="1" max="1" width="14.5" customWidth="1"/>
    <col min="2" max="6" width="44" customWidth="1"/>
  </cols>
  <sheetData>
    <row r="1" spans="1:6" ht="16.5" thickBot="1">
      <c r="A1" s="136">
        <v>45047</v>
      </c>
      <c r="B1" s="180"/>
      <c r="C1" s="180"/>
      <c r="D1" s="180"/>
      <c r="E1" s="180"/>
      <c r="F1" s="181"/>
    </row>
    <row r="2" spans="1:6">
      <c r="A2" s="56" t="s">
        <v>0</v>
      </c>
      <c r="B2" s="57" t="s">
        <v>1</v>
      </c>
      <c r="C2" s="57" t="s">
        <v>2</v>
      </c>
      <c r="D2" s="57" t="s">
        <v>3</v>
      </c>
      <c r="E2" s="57" t="s">
        <v>4</v>
      </c>
      <c r="F2" s="57" t="s">
        <v>5</v>
      </c>
    </row>
    <row r="3" spans="1:6">
      <c r="A3" s="58" t="s">
        <v>6</v>
      </c>
      <c r="B3" s="59">
        <v>1</v>
      </c>
      <c r="C3" s="59">
        <v>2</v>
      </c>
      <c r="D3" s="59">
        <v>3</v>
      </c>
      <c r="E3" s="59">
        <v>4</v>
      </c>
      <c r="F3" s="59">
        <v>5</v>
      </c>
    </row>
    <row r="4" spans="1:6">
      <c r="A4" s="107" t="s">
        <v>7</v>
      </c>
      <c r="B4" s="137" t="s">
        <v>8</v>
      </c>
      <c r="C4" s="138" t="s">
        <v>9</v>
      </c>
      <c r="D4" s="139" t="s">
        <v>10</v>
      </c>
      <c r="E4" s="138" t="s">
        <v>11</v>
      </c>
      <c r="F4" s="138" t="s">
        <v>12</v>
      </c>
    </row>
    <row r="5" spans="1:6">
      <c r="A5" s="182"/>
      <c r="B5" s="183"/>
      <c r="C5" s="184"/>
      <c r="D5" s="182"/>
      <c r="E5" s="184"/>
      <c r="F5" s="184"/>
    </row>
    <row r="6" spans="1:6">
      <c r="A6" s="107" t="s">
        <v>13</v>
      </c>
      <c r="B6" s="183"/>
      <c r="C6" s="60"/>
      <c r="D6" s="60"/>
      <c r="E6" s="60"/>
      <c r="F6" s="60"/>
    </row>
    <row r="7" spans="1:6">
      <c r="A7" s="182"/>
      <c r="B7" s="183"/>
      <c r="C7" s="61"/>
      <c r="D7" s="61"/>
      <c r="E7" s="61"/>
      <c r="F7" s="61"/>
    </row>
    <row r="8" spans="1:6">
      <c r="A8" s="107" t="s">
        <v>14</v>
      </c>
      <c r="B8" s="183"/>
      <c r="C8" s="60"/>
      <c r="D8" s="60"/>
      <c r="E8" s="60"/>
      <c r="F8" s="60"/>
    </row>
    <row r="9" spans="1:6">
      <c r="A9" s="182"/>
      <c r="B9" s="182"/>
      <c r="C9" s="61"/>
      <c r="D9" s="61"/>
      <c r="E9" s="61"/>
      <c r="F9" s="61"/>
    </row>
    <row r="10" spans="1:6">
      <c r="A10" s="58" t="s">
        <v>6</v>
      </c>
      <c r="B10" s="59">
        <f t="shared" ref="B10:F10" si="0">B3+7</f>
        <v>8</v>
      </c>
      <c r="C10" s="59">
        <f t="shared" si="0"/>
        <v>9</v>
      </c>
      <c r="D10" s="59">
        <f t="shared" si="0"/>
        <v>10</v>
      </c>
      <c r="E10" s="59">
        <f t="shared" si="0"/>
        <v>11</v>
      </c>
      <c r="F10" s="59">
        <f t="shared" si="0"/>
        <v>12</v>
      </c>
    </row>
    <row r="11" spans="1:6">
      <c r="A11" s="107" t="s">
        <v>7</v>
      </c>
      <c r="B11" s="132" t="s">
        <v>15</v>
      </c>
      <c r="C11" s="185"/>
      <c r="D11" s="133" t="s">
        <v>16</v>
      </c>
      <c r="E11" s="134" t="s">
        <v>15</v>
      </c>
      <c r="F11" s="135" t="s">
        <v>17</v>
      </c>
    </row>
    <row r="12" spans="1:6">
      <c r="A12" s="182"/>
      <c r="B12" s="184"/>
      <c r="C12" s="186"/>
      <c r="D12" s="182"/>
      <c r="E12" s="182"/>
      <c r="F12" s="182"/>
    </row>
    <row r="13" spans="1:6">
      <c r="A13" s="107" t="s">
        <v>13</v>
      </c>
      <c r="B13" s="60"/>
      <c r="C13" s="60"/>
      <c r="D13" s="60"/>
      <c r="E13" s="60"/>
      <c r="F13" s="60"/>
    </row>
    <row r="14" spans="1:6">
      <c r="A14" s="182"/>
      <c r="B14" s="61"/>
      <c r="C14" s="61"/>
      <c r="D14" s="61"/>
      <c r="E14" s="61"/>
      <c r="F14" s="61"/>
    </row>
    <row r="15" spans="1:6">
      <c r="A15" s="107" t="s">
        <v>14</v>
      </c>
      <c r="B15" s="60"/>
      <c r="C15" s="60"/>
      <c r="D15" s="60"/>
      <c r="E15" s="60"/>
      <c r="F15" s="60"/>
    </row>
    <row r="16" spans="1:6">
      <c r="A16" s="182"/>
      <c r="B16" s="61"/>
      <c r="C16" s="61"/>
      <c r="D16" s="61"/>
      <c r="E16" s="61"/>
      <c r="F16" s="61"/>
    </row>
    <row r="17" spans="1:6">
      <c r="A17" s="58" t="s">
        <v>6</v>
      </c>
      <c r="B17" s="59">
        <f t="shared" ref="B17:F17" si="1">B10+7</f>
        <v>15</v>
      </c>
      <c r="C17" s="59">
        <f t="shared" si="1"/>
        <v>16</v>
      </c>
      <c r="D17" s="59">
        <f t="shared" si="1"/>
        <v>17</v>
      </c>
      <c r="E17" s="59">
        <f t="shared" si="1"/>
        <v>18</v>
      </c>
      <c r="F17" s="59">
        <f t="shared" si="1"/>
        <v>19</v>
      </c>
    </row>
    <row r="18" spans="1:6">
      <c r="A18" s="107" t="s">
        <v>7</v>
      </c>
      <c r="B18" s="134" t="s">
        <v>15</v>
      </c>
      <c r="C18" s="140" t="s">
        <v>18</v>
      </c>
      <c r="D18" s="133" t="s">
        <v>16</v>
      </c>
      <c r="E18" s="132" t="s">
        <v>19</v>
      </c>
      <c r="F18" s="185"/>
    </row>
    <row r="19" spans="1:6">
      <c r="A19" s="182"/>
      <c r="B19" s="182"/>
      <c r="C19" s="182"/>
      <c r="D19" s="182"/>
      <c r="E19" s="184"/>
      <c r="F19" s="186"/>
    </row>
    <row r="20" spans="1:6">
      <c r="A20" s="107" t="s">
        <v>13</v>
      </c>
      <c r="B20" s="60"/>
      <c r="C20" s="60"/>
      <c r="D20" s="60"/>
      <c r="E20" s="60"/>
      <c r="F20" s="60"/>
    </row>
    <row r="21" spans="1:6">
      <c r="A21" s="182"/>
      <c r="B21" s="61"/>
      <c r="C21" s="61"/>
      <c r="D21" s="61"/>
      <c r="E21" s="61"/>
      <c r="F21" s="61"/>
    </row>
    <row r="22" spans="1:6">
      <c r="A22" s="107" t="s">
        <v>14</v>
      </c>
      <c r="B22" s="60"/>
      <c r="C22" s="60"/>
      <c r="D22" s="60"/>
      <c r="E22" s="60"/>
      <c r="F22" s="60"/>
    </row>
    <row r="23" spans="1:6">
      <c r="A23" s="182"/>
      <c r="B23" s="61"/>
      <c r="C23" s="61"/>
      <c r="D23" s="61"/>
      <c r="E23" s="61"/>
      <c r="F23" s="61"/>
    </row>
    <row r="24" spans="1:6">
      <c r="A24" s="58" t="s">
        <v>6</v>
      </c>
      <c r="B24" s="59">
        <f t="shared" ref="B24:F24" si="2">B17+7</f>
        <v>22</v>
      </c>
      <c r="C24" s="59">
        <f t="shared" si="2"/>
        <v>23</v>
      </c>
      <c r="D24" s="59">
        <f t="shared" si="2"/>
        <v>24</v>
      </c>
      <c r="E24" s="59">
        <f t="shared" si="2"/>
        <v>25</v>
      </c>
      <c r="F24" s="59">
        <f t="shared" si="2"/>
        <v>26</v>
      </c>
    </row>
    <row r="25" spans="1:6">
      <c r="A25" s="107" t="s">
        <v>7</v>
      </c>
      <c r="B25" s="140" t="s">
        <v>20</v>
      </c>
      <c r="C25" s="141" t="s">
        <v>21</v>
      </c>
      <c r="D25" s="133" t="s">
        <v>16</v>
      </c>
      <c r="E25" s="142" t="s">
        <v>21</v>
      </c>
      <c r="F25" s="185"/>
    </row>
    <row r="26" spans="1:6">
      <c r="A26" s="182"/>
      <c r="B26" s="182"/>
      <c r="C26" s="182"/>
      <c r="D26" s="182"/>
      <c r="E26" s="184"/>
      <c r="F26" s="186"/>
    </row>
    <row r="27" spans="1:6">
      <c r="A27" s="107" t="s">
        <v>13</v>
      </c>
      <c r="B27" s="60"/>
      <c r="C27" s="60"/>
      <c r="D27" s="60"/>
      <c r="E27" s="60"/>
      <c r="F27" s="60"/>
    </row>
    <row r="28" spans="1:6">
      <c r="A28" s="182"/>
      <c r="B28" s="61"/>
      <c r="C28" s="61"/>
      <c r="D28" s="61"/>
      <c r="E28" s="61"/>
      <c r="F28" s="61"/>
    </row>
    <row r="29" spans="1:6">
      <c r="A29" s="107" t="s">
        <v>14</v>
      </c>
      <c r="B29" s="60"/>
      <c r="C29" s="60"/>
      <c r="D29" s="60"/>
      <c r="E29" s="60"/>
      <c r="F29" s="60"/>
    </row>
    <row r="30" spans="1:6">
      <c r="A30" s="182"/>
      <c r="B30" s="61"/>
      <c r="C30" s="61"/>
      <c r="D30" s="61"/>
      <c r="E30" s="61"/>
      <c r="F30" s="61"/>
    </row>
    <row r="31" spans="1:6">
      <c r="A31" s="58" t="s">
        <v>6</v>
      </c>
      <c r="B31" s="59">
        <f t="shared" ref="B31:D31" si="3">B24+7</f>
        <v>29</v>
      </c>
      <c r="C31" s="59">
        <f t="shared" si="3"/>
        <v>30</v>
      </c>
      <c r="D31" s="59">
        <f t="shared" si="3"/>
        <v>31</v>
      </c>
      <c r="E31" s="143"/>
      <c r="F31" s="143"/>
    </row>
    <row r="32" spans="1:6">
      <c r="A32" s="107" t="s">
        <v>7</v>
      </c>
      <c r="B32" s="134" t="s">
        <v>22</v>
      </c>
      <c r="C32" s="139" t="s">
        <v>23</v>
      </c>
      <c r="D32" s="133" t="s">
        <v>16</v>
      </c>
      <c r="E32" s="183"/>
      <c r="F32" s="183"/>
    </row>
    <row r="33" spans="1:6">
      <c r="A33" s="182"/>
      <c r="B33" s="182"/>
      <c r="C33" s="182"/>
      <c r="D33" s="182"/>
      <c r="E33" s="183"/>
      <c r="F33" s="183"/>
    </row>
    <row r="34" spans="1:6">
      <c r="A34" s="107" t="s">
        <v>13</v>
      </c>
      <c r="B34" s="60"/>
      <c r="C34" s="60"/>
      <c r="D34" s="60"/>
      <c r="E34" s="183"/>
      <c r="F34" s="183"/>
    </row>
    <row r="35" spans="1:6">
      <c r="A35" s="182"/>
      <c r="B35" s="61"/>
      <c r="C35" s="61"/>
      <c r="D35" s="61"/>
      <c r="E35" s="183"/>
      <c r="F35" s="183"/>
    </row>
    <row r="36" spans="1:6">
      <c r="A36" s="107" t="s">
        <v>14</v>
      </c>
      <c r="B36" s="60"/>
      <c r="C36" s="60"/>
      <c r="D36" s="60"/>
      <c r="E36" s="183"/>
      <c r="F36" s="183"/>
    </row>
    <row r="37" spans="1:6" ht="16.5" thickBot="1">
      <c r="A37" s="182"/>
      <c r="B37" s="61"/>
      <c r="C37" s="61"/>
      <c r="D37" s="61"/>
      <c r="E37" s="182"/>
      <c r="F37" s="182"/>
    </row>
    <row r="38" spans="1:6" s="96" customFormat="1" thickBot="1">
      <c r="A38" s="111">
        <f>A1+31</f>
        <v>45078</v>
      </c>
      <c r="B38" s="180"/>
      <c r="C38" s="180"/>
      <c r="D38" s="180"/>
      <c r="E38" s="180"/>
      <c r="F38" s="181"/>
    </row>
    <row r="39" spans="1:6" s="96" customFormat="1" ht="15">
      <c r="A39" s="97" t="s">
        <v>0</v>
      </c>
      <c r="B39" s="98" t="s">
        <v>1</v>
      </c>
      <c r="C39" s="98" t="s">
        <v>2</v>
      </c>
      <c r="D39" s="98" t="s">
        <v>3</v>
      </c>
      <c r="E39" s="98" t="s">
        <v>4</v>
      </c>
      <c r="F39" s="98" t="s">
        <v>5</v>
      </c>
    </row>
    <row r="40" spans="1:6" s="96" customFormat="1" ht="15">
      <c r="A40" s="99" t="s">
        <v>6</v>
      </c>
      <c r="B40" s="108"/>
      <c r="C40" s="108"/>
      <c r="D40" s="108"/>
      <c r="E40" s="100">
        <v>1</v>
      </c>
      <c r="F40" s="100">
        <v>2</v>
      </c>
    </row>
    <row r="41" spans="1:6" s="96" customFormat="1" ht="15">
      <c r="A41" s="107" t="s">
        <v>7</v>
      </c>
      <c r="B41" s="183"/>
      <c r="C41" s="183"/>
      <c r="D41" s="183"/>
      <c r="E41" s="130" t="s">
        <v>24</v>
      </c>
      <c r="F41" s="110" t="s">
        <v>25</v>
      </c>
    </row>
    <row r="42" spans="1:6" s="96" customFormat="1" ht="15">
      <c r="A42" s="182"/>
      <c r="B42" s="183"/>
      <c r="C42" s="183"/>
      <c r="D42" s="183"/>
      <c r="E42" s="183"/>
      <c r="F42" s="183"/>
    </row>
    <row r="43" spans="1:6" s="96" customFormat="1" ht="15">
      <c r="A43" s="107" t="s">
        <v>14</v>
      </c>
      <c r="B43" s="183"/>
      <c r="C43" s="183"/>
      <c r="D43" s="183"/>
      <c r="E43" s="182"/>
      <c r="F43" s="183"/>
    </row>
    <row r="44" spans="1:6" s="96" customFormat="1" ht="15">
      <c r="A44" s="182"/>
      <c r="B44" s="182"/>
      <c r="C44" s="182"/>
      <c r="D44" s="182"/>
      <c r="E44" s="101"/>
      <c r="F44" s="182"/>
    </row>
    <row r="45" spans="1:6" s="96" customFormat="1" ht="15">
      <c r="A45" s="99" t="s">
        <v>6</v>
      </c>
      <c r="B45" s="100">
        <v>5</v>
      </c>
      <c r="C45" s="100">
        <v>6</v>
      </c>
      <c r="D45" s="100">
        <v>7</v>
      </c>
      <c r="E45" s="100">
        <v>8</v>
      </c>
      <c r="F45" s="100">
        <v>9</v>
      </c>
    </row>
    <row r="46" spans="1:6" s="96" customFormat="1" ht="15">
      <c r="A46" s="107" t="s">
        <v>7</v>
      </c>
      <c r="B46" s="144" t="s">
        <v>17</v>
      </c>
      <c r="C46" s="114" t="s">
        <v>26</v>
      </c>
      <c r="D46" s="109" t="s">
        <v>16</v>
      </c>
      <c r="E46" s="130" t="s">
        <v>24</v>
      </c>
      <c r="F46" s="130" t="s">
        <v>24</v>
      </c>
    </row>
    <row r="47" spans="1:6" s="96" customFormat="1" ht="15">
      <c r="A47" s="182"/>
      <c r="B47" s="182"/>
      <c r="C47" s="182"/>
      <c r="D47" s="182"/>
      <c r="E47" s="182"/>
      <c r="F47" s="182"/>
    </row>
    <row r="48" spans="1:6" s="96" customFormat="1" ht="15">
      <c r="A48" s="107" t="s">
        <v>14</v>
      </c>
      <c r="B48" s="102"/>
      <c r="C48" s="102"/>
      <c r="D48" s="102"/>
      <c r="E48" s="102"/>
      <c r="F48" s="131" t="s">
        <v>27</v>
      </c>
    </row>
    <row r="49" spans="1:6" s="96" customFormat="1" ht="15">
      <c r="A49" s="182"/>
      <c r="B49" s="101"/>
      <c r="C49" s="101"/>
      <c r="D49" s="101"/>
      <c r="E49" s="101"/>
      <c r="F49" s="182"/>
    </row>
    <row r="50" spans="1:6" s="96" customFormat="1" ht="15">
      <c r="A50" s="99" t="s">
        <v>6</v>
      </c>
      <c r="B50" s="100">
        <f t="shared" ref="B50:F50" si="4">B45+7</f>
        <v>12</v>
      </c>
      <c r="C50" s="100">
        <f t="shared" si="4"/>
        <v>13</v>
      </c>
      <c r="D50" s="100">
        <f t="shared" si="4"/>
        <v>14</v>
      </c>
      <c r="E50" s="100">
        <f t="shared" si="4"/>
        <v>15</v>
      </c>
      <c r="F50" s="100">
        <f t="shared" si="4"/>
        <v>16</v>
      </c>
    </row>
    <row r="51" spans="1:6" s="96" customFormat="1" ht="15">
      <c r="A51" s="107" t="s">
        <v>7</v>
      </c>
      <c r="B51" s="113" t="s">
        <v>28</v>
      </c>
      <c r="C51" s="131" t="s">
        <v>27</v>
      </c>
      <c r="D51" s="131" t="s">
        <v>29</v>
      </c>
      <c r="E51" s="109" t="s">
        <v>16</v>
      </c>
      <c r="F51" s="113" t="s">
        <v>30</v>
      </c>
    </row>
    <row r="52" spans="1:6" s="96" customFormat="1" ht="15">
      <c r="A52" s="182"/>
      <c r="B52" s="182"/>
      <c r="C52" s="182"/>
      <c r="D52" s="182"/>
      <c r="E52" s="182"/>
      <c r="F52" s="182"/>
    </row>
    <row r="53" spans="1:6" s="96" customFormat="1" ht="15">
      <c r="A53" s="107" t="s">
        <v>14</v>
      </c>
      <c r="B53" s="102"/>
      <c r="D53" s="102"/>
      <c r="E53" s="102"/>
      <c r="F53" s="102"/>
    </row>
    <row r="54" spans="1:6" s="96" customFormat="1" ht="15">
      <c r="A54" s="182"/>
      <c r="B54" s="101"/>
      <c r="D54" s="101"/>
      <c r="E54" s="101"/>
      <c r="F54" s="101"/>
    </row>
    <row r="55" spans="1:6" s="96" customFormat="1" ht="15">
      <c r="A55" s="99" t="s">
        <v>6</v>
      </c>
      <c r="B55" s="100">
        <f t="shared" ref="B55:F55" si="5">B50+7</f>
        <v>19</v>
      </c>
      <c r="C55" s="100">
        <f t="shared" si="5"/>
        <v>20</v>
      </c>
      <c r="D55" s="100">
        <f t="shared" si="5"/>
        <v>21</v>
      </c>
      <c r="E55" s="100">
        <f t="shared" si="5"/>
        <v>22</v>
      </c>
      <c r="F55" s="100">
        <f t="shared" si="5"/>
        <v>23</v>
      </c>
    </row>
    <row r="56" spans="1:6" s="96" customFormat="1" ht="15">
      <c r="A56" s="107" t="s">
        <v>7</v>
      </c>
      <c r="B56" s="113" t="s">
        <v>30</v>
      </c>
      <c r="C56" s="114" t="s">
        <v>31</v>
      </c>
      <c r="D56" s="114" t="s">
        <v>23</v>
      </c>
      <c r="E56" s="130" t="s">
        <v>24</v>
      </c>
      <c r="F56" s="130" t="s">
        <v>24</v>
      </c>
    </row>
    <row r="57" spans="1:6" s="96" customFormat="1" ht="15">
      <c r="A57" s="182"/>
      <c r="B57" s="182"/>
      <c r="C57" s="182"/>
      <c r="D57" s="182"/>
      <c r="E57" s="182"/>
      <c r="F57" s="182"/>
    </row>
    <row r="58" spans="1:6" s="96" customFormat="1" ht="15">
      <c r="A58" s="107" t="s">
        <v>14</v>
      </c>
      <c r="B58" s="106"/>
      <c r="C58" s="125" t="s">
        <v>32</v>
      </c>
      <c r="D58" s="185"/>
      <c r="E58" s="102"/>
    </row>
    <row r="59" spans="1:6" s="96" customFormat="1" ht="15">
      <c r="A59" s="182"/>
      <c r="B59" s="182"/>
      <c r="C59" s="184"/>
      <c r="D59" s="186"/>
      <c r="E59" s="101"/>
    </row>
    <row r="60" spans="1:6" s="96" customFormat="1" ht="15">
      <c r="A60" s="99" t="s">
        <v>6</v>
      </c>
      <c r="B60" s="100">
        <f t="shared" ref="B60:F60" si="6">B55+7</f>
        <v>26</v>
      </c>
      <c r="C60" s="100">
        <f t="shared" si="6"/>
        <v>27</v>
      </c>
      <c r="D60" s="100">
        <f t="shared" si="6"/>
        <v>28</v>
      </c>
      <c r="E60" s="100">
        <f t="shared" si="6"/>
        <v>29</v>
      </c>
      <c r="F60" s="100">
        <f t="shared" si="6"/>
        <v>30</v>
      </c>
    </row>
    <row r="61" spans="1:6" s="96" customFormat="1" ht="15">
      <c r="A61" s="107" t="s">
        <v>7</v>
      </c>
      <c r="B61" s="113" t="s">
        <v>33</v>
      </c>
      <c r="C61" s="109" t="s">
        <v>16</v>
      </c>
      <c r="D61" s="112" t="s">
        <v>34</v>
      </c>
      <c r="E61" s="110" t="s">
        <v>35</v>
      </c>
      <c r="F61" s="144" t="s">
        <v>17</v>
      </c>
    </row>
    <row r="62" spans="1:6" s="96" customFormat="1" ht="15">
      <c r="A62" s="182"/>
      <c r="B62" s="182"/>
      <c r="C62" s="182"/>
      <c r="D62" s="184"/>
      <c r="E62" s="183"/>
      <c r="F62" s="182"/>
    </row>
    <row r="63" spans="1:6" s="96" customFormat="1" ht="15">
      <c r="A63" s="107" t="s">
        <v>14</v>
      </c>
      <c r="B63" s="102"/>
      <c r="C63" s="102"/>
      <c r="E63" s="183"/>
      <c r="F63" s="102"/>
    </row>
    <row r="64" spans="1:6" s="96" customFormat="1" thickBot="1">
      <c r="A64" s="182"/>
      <c r="B64" s="101"/>
      <c r="C64" s="101"/>
      <c r="E64" s="182"/>
      <c r="F64" s="101"/>
    </row>
    <row r="65" spans="1:6" s="96" customFormat="1" thickBot="1">
      <c r="A65" s="111">
        <f>A38+30</f>
        <v>45108</v>
      </c>
      <c r="B65" s="180"/>
      <c r="C65" s="180"/>
      <c r="D65" s="180"/>
      <c r="E65" s="180"/>
      <c r="F65" s="181"/>
    </row>
    <row r="66" spans="1:6" s="96" customFormat="1" ht="15">
      <c r="A66" s="97" t="s">
        <v>0</v>
      </c>
      <c r="B66" s="98" t="s">
        <v>1</v>
      </c>
      <c r="C66" s="98" t="s">
        <v>2</v>
      </c>
      <c r="D66" s="98" t="s">
        <v>3</v>
      </c>
      <c r="E66" s="98" t="s">
        <v>4</v>
      </c>
      <c r="F66" s="98" t="s">
        <v>5</v>
      </c>
    </row>
    <row r="67" spans="1:6" s="96" customFormat="1" ht="15">
      <c r="A67" s="99" t="s">
        <v>6</v>
      </c>
      <c r="B67" s="100">
        <v>3</v>
      </c>
      <c r="C67" s="100">
        <v>4</v>
      </c>
      <c r="D67" s="100">
        <v>5</v>
      </c>
      <c r="E67" s="100">
        <v>6</v>
      </c>
      <c r="F67" s="100">
        <v>7</v>
      </c>
    </row>
    <row r="68" spans="1:6" s="96" customFormat="1" ht="15">
      <c r="A68" s="107" t="s">
        <v>7</v>
      </c>
      <c r="B68" s="114" t="s">
        <v>36</v>
      </c>
      <c r="C68" s="112" t="s">
        <v>37</v>
      </c>
      <c r="D68" s="109" t="s">
        <v>16</v>
      </c>
      <c r="E68" s="113" t="s">
        <v>38</v>
      </c>
      <c r="F68" s="144" t="s">
        <v>17</v>
      </c>
    </row>
    <row r="69" spans="1:6" s="96" customFormat="1" ht="15">
      <c r="A69" s="182"/>
      <c r="B69" s="182"/>
      <c r="C69" s="184"/>
      <c r="D69" s="182"/>
      <c r="E69" s="182"/>
      <c r="F69" s="182"/>
    </row>
    <row r="70" spans="1:6" s="96" customFormat="1" ht="15">
      <c r="A70" s="107" t="s">
        <v>14</v>
      </c>
      <c r="B70" s="102"/>
      <c r="C70" s="102"/>
      <c r="D70" s="102"/>
      <c r="E70" s="102"/>
      <c r="F70" s="102"/>
    </row>
    <row r="71" spans="1:6" s="96" customFormat="1" ht="15">
      <c r="A71" s="182"/>
      <c r="B71" s="101"/>
      <c r="C71" s="101"/>
      <c r="D71" s="101"/>
      <c r="E71" s="101"/>
      <c r="F71" s="101"/>
    </row>
    <row r="72" spans="1:6" s="96" customFormat="1" ht="15">
      <c r="A72" s="99" t="s">
        <v>6</v>
      </c>
      <c r="B72" s="100">
        <f>B67+7</f>
        <v>10</v>
      </c>
      <c r="C72" s="100">
        <f>C67+7</f>
        <v>11</v>
      </c>
      <c r="D72" s="100">
        <f>D67+7</f>
        <v>12</v>
      </c>
      <c r="E72" s="100">
        <f>E67+7</f>
        <v>13</v>
      </c>
      <c r="F72" s="100">
        <f>F67+7</f>
        <v>14</v>
      </c>
    </row>
    <row r="73" spans="1:6" s="96" customFormat="1" ht="15" customHeight="1">
      <c r="A73" s="107" t="s">
        <v>7</v>
      </c>
      <c r="B73" s="113" t="s">
        <v>39</v>
      </c>
      <c r="C73" s="131" t="s">
        <v>40</v>
      </c>
      <c r="D73" s="109" t="s">
        <v>16</v>
      </c>
      <c r="E73" s="131" t="s">
        <v>41</v>
      </c>
      <c r="F73" s="114" t="s">
        <v>42</v>
      </c>
    </row>
    <row r="74" spans="1:6" s="96" customFormat="1" ht="15">
      <c r="A74" s="182"/>
      <c r="B74" s="182"/>
      <c r="C74" s="182"/>
      <c r="D74" s="182"/>
      <c r="E74" s="182"/>
      <c r="F74" s="182"/>
    </row>
    <row r="75" spans="1:6" s="96" customFormat="1" ht="15">
      <c r="A75" s="107" t="s">
        <v>14</v>
      </c>
      <c r="B75" s="102"/>
      <c r="C75" s="102"/>
      <c r="D75" s="102"/>
      <c r="E75" s="102"/>
      <c r="F75" s="102"/>
    </row>
    <row r="76" spans="1:6" s="96" customFormat="1" ht="15">
      <c r="A76" s="182"/>
      <c r="B76" s="101"/>
      <c r="C76" s="101"/>
      <c r="D76" s="101"/>
      <c r="E76" s="101"/>
      <c r="F76" s="101"/>
    </row>
    <row r="77" spans="1:6" s="96" customFormat="1" ht="15">
      <c r="A77" s="99" t="s">
        <v>6</v>
      </c>
      <c r="B77" s="100">
        <f>B72+7</f>
        <v>17</v>
      </c>
      <c r="C77" s="100">
        <f>C72+7</f>
        <v>18</v>
      </c>
      <c r="D77" s="100">
        <f>D72+7</f>
        <v>19</v>
      </c>
      <c r="E77" s="100">
        <f>E72+7</f>
        <v>20</v>
      </c>
      <c r="F77" s="100">
        <f>F72+7</f>
        <v>21</v>
      </c>
    </row>
    <row r="78" spans="1:6" s="96" customFormat="1" ht="15">
      <c r="A78" s="107" t="s">
        <v>7</v>
      </c>
      <c r="B78" s="113" t="s">
        <v>43</v>
      </c>
      <c r="C78" s="114" t="s">
        <v>44</v>
      </c>
      <c r="D78" s="109" t="s">
        <v>16</v>
      </c>
      <c r="E78" s="126" t="s">
        <v>45</v>
      </c>
      <c r="F78" s="127"/>
    </row>
    <row r="79" spans="1:6" s="96" customFormat="1" ht="15">
      <c r="A79" s="182"/>
      <c r="B79" s="182"/>
      <c r="C79" s="182"/>
      <c r="D79" s="182"/>
      <c r="E79" s="128"/>
      <c r="F79" s="129"/>
    </row>
    <row r="80" spans="1:6" s="96" customFormat="1" ht="15">
      <c r="A80" s="107" t="s">
        <v>14</v>
      </c>
      <c r="B80" s="102"/>
      <c r="C80" s="102"/>
      <c r="D80" s="102"/>
      <c r="E80" s="102"/>
      <c r="F80" s="102"/>
    </row>
    <row r="81" spans="1:6" s="96" customFormat="1" ht="15">
      <c r="A81" s="182"/>
      <c r="B81" s="101"/>
      <c r="C81" s="101"/>
      <c r="D81" s="101"/>
      <c r="E81" s="101"/>
      <c r="F81" s="101"/>
    </row>
    <row r="82" spans="1:6" s="96" customFormat="1" ht="15">
      <c r="A82" s="99" t="s">
        <v>6</v>
      </c>
      <c r="B82" s="100">
        <f>B77+7</f>
        <v>24</v>
      </c>
      <c r="C82" s="100">
        <f>C77+7</f>
        <v>25</v>
      </c>
      <c r="D82" s="100">
        <f>D77+7</f>
        <v>26</v>
      </c>
      <c r="E82" s="100">
        <f>E77+7</f>
        <v>27</v>
      </c>
      <c r="F82" s="100">
        <f>F77+7</f>
        <v>28</v>
      </c>
    </row>
    <row r="83" spans="1:6" s="96" customFormat="1" ht="15">
      <c r="A83" s="107" t="s">
        <v>7</v>
      </c>
      <c r="B83" s="113" t="s">
        <v>46</v>
      </c>
      <c r="C83" s="113" t="s">
        <v>47</v>
      </c>
      <c r="D83" s="109" t="s">
        <v>16</v>
      </c>
      <c r="E83" s="121" t="s">
        <v>48</v>
      </c>
      <c r="F83" s="122"/>
    </row>
    <row r="84" spans="1:6" s="96" customFormat="1" ht="15">
      <c r="A84" s="182"/>
      <c r="B84" s="182"/>
      <c r="C84" s="182"/>
      <c r="D84" s="182"/>
      <c r="E84" s="123"/>
      <c r="F84" s="124"/>
    </row>
    <row r="85" spans="1:6" s="96" customFormat="1" ht="15">
      <c r="A85" s="107" t="s">
        <v>14</v>
      </c>
      <c r="B85" s="102"/>
      <c r="C85" s="115" t="s">
        <v>49</v>
      </c>
      <c r="D85" s="116"/>
      <c r="E85" s="116"/>
      <c r="F85" s="117"/>
    </row>
    <row r="86" spans="1:6" s="96" customFormat="1" ht="15">
      <c r="A86" s="182"/>
      <c r="B86" s="101"/>
      <c r="C86" s="118"/>
      <c r="D86" s="119"/>
      <c r="E86" s="119"/>
      <c r="F86" s="120"/>
    </row>
    <row r="87" spans="1:6" s="96" customFormat="1" ht="15">
      <c r="A87" s="99" t="s">
        <v>6</v>
      </c>
      <c r="B87" s="100">
        <f>B82+7</f>
        <v>31</v>
      </c>
      <c r="C87" s="108"/>
      <c r="D87" s="108"/>
      <c r="E87" s="108"/>
      <c r="F87" s="108"/>
    </row>
    <row r="88" spans="1:6" s="96" customFormat="1" ht="15">
      <c r="A88" s="107" t="s">
        <v>7</v>
      </c>
      <c r="B88" s="114" t="s">
        <v>48</v>
      </c>
      <c r="C88" s="183"/>
      <c r="D88" s="183"/>
      <c r="E88" s="183"/>
      <c r="F88" s="183"/>
    </row>
    <row r="89" spans="1:6" s="96" customFormat="1" ht="15">
      <c r="A89" s="182"/>
      <c r="B89" s="182"/>
      <c r="C89" s="183"/>
      <c r="D89" s="183"/>
      <c r="E89" s="183"/>
      <c r="F89" s="183"/>
    </row>
    <row r="90" spans="1:6" s="96" customFormat="1" ht="15">
      <c r="A90" s="107" t="s">
        <v>14</v>
      </c>
      <c r="B90" s="102"/>
      <c r="C90" s="183"/>
      <c r="D90" s="183"/>
      <c r="E90" s="183"/>
      <c r="F90" s="183"/>
    </row>
    <row r="91" spans="1:6" s="96" customFormat="1" thickBot="1">
      <c r="A91" s="182"/>
      <c r="B91" s="101"/>
      <c r="C91" s="182"/>
      <c r="D91" s="182"/>
      <c r="E91" s="182"/>
      <c r="F91" s="182"/>
    </row>
    <row r="92" spans="1:6" s="96" customFormat="1" thickBot="1">
      <c r="A92" s="111">
        <f>A65+31</f>
        <v>45139</v>
      </c>
      <c r="B92" s="180"/>
      <c r="C92" s="180"/>
      <c r="D92" s="180"/>
      <c r="E92" s="180"/>
      <c r="F92" s="181"/>
    </row>
    <row r="93" spans="1:6" s="96" customFormat="1" ht="15">
      <c r="A93" s="97" t="s">
        <v>0</v>
      </c>
      <c r="B93" s="98" t="s">
        <v>1</v>
      </c>
      <c r="C93" s="98" t="s">
        <v>2</v>
      </c>
      <c r="D93" s="98" t="s">
        <v>3</v>
      </c>
      <c r="E93" s="98" t="s">
        <v>4</v>
      </c>
      <c r="F93" s="98" t="s">
        <v>5</v>
      </c>
    </row>
    <row r="94" spans="1:6" s="96" customFormat="1" ht="15">
      <c r="A94" s="99" t="s">
        <v>6</v>
      </c>
      <c r="B94" s="108"/>
      <c r="C94" s="100">
        <v>1</v>
      </c>
      <c r="D94" s="100">
        <v>2</v>
      </c>
      <c r="E94" s="100">
        <v>3</v>
      </c>
      <c r="F94" s="100">
        <v>4</v>
      </c>
    </row>
    <row r="95" spans="1:6" s="96" customFormat="1" ht="15">
      <c r="A95" s="107" t="s">
        <v>7</v>
      </c>
      <c r="B95" s="183"/>
      <c r="C95" s="114" t="s">
        <v>50</v>
      </c>
      <c r="D95" s="121" t="s">
        <v>48</v>
      </c>
      <c r="E95" s="122"/>
      <c r="F95" s="109" t="s">
        <v>16</v>
      </c>
    </row>
    <row r="96" spans="1:6" s="96" customFormat="1" ht="15">
      <c r="A96" s="182"/>
      <c r="B96" s="183"/>
      <c r="C96" s="182"/>
      <c r="D96" s="123"/>
      <c r="E96" s="124"/>
      <c r="F96" s="145"/>
    </row>
    <row r="97" spans="1:6" s="96" customFormat="1" ht="15">
      <c r="A97" s="107" t="s">
        <v>14</v>
      </c>
      <c r="B97" s="183"/>
      <c r="C97" s="106"/>
      <c r="D97" s="106"/>
      <c r="E97" s="106"/>
      <c r="F97" s="106"/>
    </row>
    <row r="98" spans="1:6" s="96" customFormat="1" ht="15">
      <c r="A98" s="182"/>
      <c r="B98" s="182"/>
      <c r="C98" s="182"/>
      <c r="D98" s="182"/>
      <c r="E98" s="182"/>
      <c r="F98" s="182"/>
    </row>
    <row r="99" spans="1:6" s="96" customFormat="1" ht="15">
      <c r="A99" s="99" t="s">
        <v>6</v>
      </c>
      <c r="B99" s="100">
        <v>7</v>
      </c>
      <c r="C99" s="100">
        <f>C94+7</f>
        <v>8</v>
      </c>
      <c r="D99" s="100">
        <f>D94+7</f>
        <v>9</v>
      </c>
      <c r="E99" s="100">
        <f>E94+7</f>
        <v>10</v>
      </c>
      <c r="F99" s="100">
        <f>F94+7</f>
        <v>11</v>
      </c>
    </row>
    <row r="100" spans="1:6" s="96" customFormat="1" ht="15">
      <c r="A100" s="107" t="s">
        <v>7</v>
      </c>
      <c r="B100" s="126" t="s">
        <v>51</v>
      </c>
      <c r="C100" s="127"/>
      <c r="D100" s="110" t="s">
        <v>52</v>
      </c>
      <c r="E100" s="131" t="s">
        <v>53</v>
      </c>
      <c r="F100" s="114" t="s">
        <v>54</v>
      </c>
    </row>
    <row r="101" spans="1:6" s="96" customFormat="1" ht="15">
      <c r="A101" s="182"/>
      <c r="B101" s="128"/>
      <c r="C101" s="129"/>
      <c r="D101" s="183"/>
      <c r="E101" s="182"/>
      <c r="F101" s="182"/>
    </row>
    <row r="102" spans="1:6" s="96" customFormat="1" ht="15">
      <c r="A102" s="107" t="s">
        <v>14</v>
      </c>
      <c r="B102" s="106"/>
      <c r="C102" s="106"/>
      <c r="D102" s="183"/>
      <c r="E102" s="125" t="s">
        <v>55</v>
      </c>
      <c r="F102" s="185"/>
    </row>
    <row r="103" spans="1:6" s="96" customFormat="1" ht="15">
      <c r="A103" s="182"/>
      <c r="B103" s="182"/>
      <c r="C103" s="182"/>
      <c r="D103" s="182"/>
      <c r="E103" s="184"/>
      <c r="F103" s="186"/>
    </row>
    <row r="104" spans="1:6" s="96" customFormat="1" ht="15">
      <c r="A104" s="99" t="s">
        <v>6</v>
      </c>
      <c r="B104" s="100">
        <f>B99+7</f>
        <v>14</v>
      </c>
      <c r="C104" s="100">
        <f>C99+7</f>
        <v>15</v>
      </c>
      <c r="D104" s="100">
        <f>D99+7</f>
        <v>16</v>
      </c>
      <c r="E104" s="100">
        <f>E99+7</f>
        <v>17</v>
      </c>
      <c r="F104" s="100">
        <f>F99+7</f>
        <v>18</v>
      </c>
    </row>
    <row r="105" spans="1:6" s="96" customFormat="1" ht="15">
      <c r="A105" s="107" t="s">
        <v>7</v>
      </c>
      <c r="B105" s="144" t="s">
        <v>17</v>
      </c>
      <c r="C105" s="114" t="s">
        <v>56</v>
      </c>
      <c r="D105" s="109" t="s">
        <v>16</v>
      </c>
      <c r="E105" s="126" t="s">
        <v>57</v>
      </c>
      <c r="F105" s="127"/>
    </row>
    <row r="106" spans="1:6" s="96" customFormat="1" ht="15">
      <c r="A106" s="182"/>
      <c r="B106" s="182"/>
      <c r="C106" s="182"/>
      <c r="D106" s="182"/>
      <c r="E106" s="128"/>
      <c r="F106" s="129"/>
    </row>
    <row r="107" spans="1:6" s="96" customFormat="1" ht="15">
      <c r="A107" s="107" t="s">
        <v>14</v>
      </c>
      <c r="B107" s="106"/>
      <c r="C107" s="106"/>
      <c r="D107" s="106"/>
      <c r="E107" s="106"/>
      <c r="F107" s="106"/>
    </row>
    <row r="108" spans="1:6" s="96" customFormat="1" ht="15">
      <c r="A108" s="182"/>
      <c r="B108" s="182"/>
      <c r="C108" s="182"/>
      <c r="D108" s="182"/>
      <c r="E108" s="182"/>
      <c r="F108" s="182"/>
    </row>
    <row r="109" spans="1:6" s="96" customFormat="1" ht="15">
      <c r="A109" s="99" t="s">
        <v>6</v>
      </c>
      <c r="B109" s="100">
        <f>B104+7</f>
        <v>21</v>
      </c>
      <c r="C109" s="100">
        <f>C104+7</f>
        <v>22</v>
      </c>
      <c r="D109" s="100">
        <f>D104+7</f>
        <v>23</v>
      </c>
      <c r="E109" s="100">
        <f>E104+7</f>
        <v>24</v>
      </c>
      <c r="F109" s="100">
        <f>F104+7</f>
        <v>25</v>
      </c>
    </row>
    <row r="110" spans="1:6" s="96" customFormat="1" ht="15">
      <c r="A110" s="107" t="s">
        <v>7</v>
      </c>
      <c r="B110" s="112" t="s">
        <v>58</v>
      </c>
      <c r="C110" s="113" t="s">
        <v>59</v>
      </c>
      <c r="D110" s="109" t="s">
        <v>16</v>
      </c>
      <c r="E110" s="114" t="s">
        <v>60</v>
      </c>
      <c r="F110" s="114" t="s">
        <v>61</v>
      </c>
    </row>
    <row r="111" spans="1:6" s="96" customFormat="1" ht="15">
      <c r="A111" s="182"/>
      <c r="B111" s="184"/>
      <c r="C111" s="182"/>
      <c r="D111" s="182"/>
      <c r="E111" s="182"/>
      <c r="F111" s="182"/>
    </row>
    <row r="112" spans="1:6" s="96" customFormat="1" ht="15">
      <c r="A112" s="107" t="s">
        <v>14</v>
      </c>
      <c r="B112" s="106"/>
      <c r="C112" s="106"/>
      <c r="D112" s="106"/>
      <c r="E112" s="106"/>
      <c r="F112" s="102"/>
    </row>
    <row r="113" spans="1:6" s="96" customFormat="1" ht="15">
      <c r="A113" s="182"/>
      <c r="B113" s="182"/>
      <c r="C113" s="182"/>
      <c r="D113" s="182"/>
      <c r="E113" s="182"/>
      <c r="F113" s="101"/>
    </row>
    <row r="114" spans="1:6" s="96" customFormat="1" ht="15">
      <c r="A114" s="99" t="s">
        <v>6</v>
      </c>
      <c r="B114" s="100">
        <f>B109+7</f>
        <v>28</v>
      </c>
      <c r="C114" s="100">
        <f>C109+7</f>
        <v>29</v>
      </c>
      <c r="D114" s="100">
        <f>D109+7</f>
        <v>30</v>
      </c>
      <c r="E114" s="100">
        <f>E109+7</f>
        <v>31</v>
      </c>
      <c r="F114" s="108"/>
    </row>
    <row r="115" spans="1:6" s="96" customFormat="1" ht="15" customHeight="1">
      <c r="A115" s="107" t="s">
        <v>7</v>
      </c>
      <c r="B115" s="114" t="s">
        <v>60</v>
      </c>
      <c r="C115" s="113" t="s">
        <v>62</v>
      </c>
      <c r="D115" s="109" t="s">
        <v>16</v>
      </c>
      <c r="E115" s="113" t="s">
        <v>63</v>
      </c>
      <c r="F115" s="183"/>
    </row>
    <row r="116" spans="1:6" s="96" customFormat="1" ht="15">
      <c r="A116" s="182"/>
      <c r="B116" s="182"/>
      <c r="C116" s="182"/>
      <c r="D116" s="182"/>
      <c r="E116" s="182"/>
      <c r="F116" s="183"/>
    </row>
    <row r="117" spans="1:6" s="96" customFormat="1" ht="15">
      <c r="A117" s="107" t="s">
        <v>14</v>
      </c>
      <c r="B117" s="106"/>
      <c r="C117" s="106"/>
      <c r="D117" s="106"/>
      <c r="E117" s="106"/>
      <c r="F117" s="183"/>
    </row>
    <row r="118" spans="1:6" s="96" customFormat="1" thickBot="1">
      <c r="A118" s="182"/>
      <c r="B118" s="182"/>
      <c r="C118" s="182"/>
      <c r="D118" s="182"/>
      <c r="E118" s="182"/>
      <c r="F118" s="182"/>
    </row>
    <row r="119" spans="1:6" s="96" customFormat="1" thickBot="1">
      <c r="A119" s="111">
        <f>A92+31</f>
        <v>45170</v>
      </c>
      <c r="B119" s="180"/>
      <c r="C119" s="180"/>
      <c r="D119" s="180"/>
      <c r="E119" s="180"/>
      <c r="F119" s="181"/>
    </row>
    <row r="120" spans="1:6" s="96" customFormat="1" ht="15">
      <c r="A120" s="97" t="s">
        <v>0</v>
      </c>
      <c r="B120" s="98" t="s">
        <v>1</v>
      </c>
      <c r="C120" s="98" t="s">
        <v>2</v>
      </c>
      <c r="D120" s="98" t="s">
        <v>3</v>
      </c>
      <c r="E120" s="98" t="s">
        <v>4</v>
      </c>
      <c r="F120" s="98" t="s">
        <v>5</v>
      </c>
    </row>
    <row r="121" spans="1:6" s="96" customFormat="1" ht="15">
      <c r="A121" s="99" t="s">
        <v>6</v>
      </c>
      <c r="B121" s="108"/>
      <c r="C121" s="108"/>
      <c r="D121" s="108"/>
      <c r="E121" s="108"/>
      <c r="F121" s="100">
        <v>1</v>
      </c>
    </row>
    <row r="122" spans="1:6" s="96" customFormat="1" ht="15">
      <c r="A122" s="107" t="s">
        <v>7</v>
      </c>
      <c r="B122" s="183"/>
      <c r="C122" s="183"/>
      <c r="D122" s="183"/>
      <c r="E122" s="183"/>
      <c r="F122" s="106"/>
    </row>
    <row r="123" spans="1:6" s="96" customFormat="1" ht="15">
      <c r="A123" s="182"/>
      <c r="B123" s="183"/>
      <c r="C123" s="183"/>
      <c r="D123" s="183"/>
      <c r="E123" s="183"/>
      <c r="F123" s="182"/>
    </row>
    <row r="124" spans="1:6" s="96" customFormat="1" ht="15">
      <c r="A124" s="107" t="s">
        <v>13</v>
      </c>
      <c r="B124" s="183"/>
      <c r="C124" s="183"/>
      <c r="D124" s="183"/>
      <c r="E124" s="183"/>
      <c r="F124" s="102"/>
    </row>
    <row r="125" spans="1:6" s="96" customFormat="1" ht="15">
      <c r="A125" s="182"/>
      <c r="B125" s="183"/>
      <c r="C125" s="183"/>
      <c r="D125" s="183"/>
      <c r="E125" s="183"/>
      <c r="F125" s="101"/>
    </row>
    <row r="126" spans="1:6" s="96" customFormat="1" ht="15">
      <c r="A126" s="107" t="s">
        <v>14</v>
      </c>
      <c r="B126" s="183"/>
      <c r="C126" s="183"/>
      <c r="D126" s="183"/>
      <c r="E126" s="183"/>
      <c r="F126" s="102"/>
    </row>
    <row r="127" spans="1:6" s="96" customFormat="1" ht="15">
      <c r="A127" s="182"/>
      <c r="B127" s="182"/>
      <c r="C127" s="182"/>
      <c r="D127" s="182"/>
      <c r="E127" s="182"/>
      <c r="F127" s="101"/>
    </row>
    <row r="128" spans="1:6" s="96" customFormat="1" ht="15">
      <c r="A128" s="99" t="s">
        <v>6</v>
      </c>
      <c r="B128" s="100">
        <v>4</v>
      </c>
      <c r="C128" s="100">
        <v>5</v>
      </c>
      <c r="D128" s="100">
        <v>6</v>
      </c>
      <c r="E128" s="100">
        <v>7</v>
      </c>
      <c r="F128" s="100">
        <f>F121+7</f>
        <v>8</v>
      </c>
    </row>
    <row r="129" spans="1:6" s="96" customFormat="1" ht="15">
      <c r="A129" s="107" t="s">
        <v>7</v>
      </c>
      <c r="B129" s="106"/>
      <c r="C129" s="106"/>
      <c r="D129" s="109" t="s">
        <v>16</v>
      </c>
      <c r="E129" s="106"/>
      <c r="F129" s="106"/>
    </row>
    <row r="130" spans="1:6" s="96" customFormat="1" ht="15">
      <c r="A130" s="182"/>
      <c r="B130" s="182"/>
      <c r="C130" s="182"/>
      <c r="D130" s="182"/>
      <c r="E130" s="182"/>
      <c r="F130" s="182"/>
    </row>
    <row r="131" spans="1:6" s="96" customFormat="1" ht="15">
      <c r="A131" s="107" t="s">
        <v>13</v>
      </c>
      <c r="B131" s="102"/>
      <c r="C131" s="102"/>
      <c r="D131" s="102"/>
      <c r="E131" s="102"/>
      <c r="F131" s="102"/>
    </row>
    <row r="132" spans="1:6" s="96" customFormat="1" ht="15">
      <c r="A132" s="182"/>
      <c r="B132" s="101"/>
      <c r="C132" s="101"/>
      <c r="D132" s="101"/>
      <c r="E132" s="101"/>
      <c r="F132" s="101"/>
    </row>
    <row r="133" spans="1:6" s="96" customFormat="1" ht="15">
      <c r="A133" s="107" t="s">
        <v>14</v>
      </c>
      <c r="B133" s="102"/>
      <c r="C133" s="102"/>
      <c r="D133" s="102"/>
      <c r="E133" s="102"/>
      <c r="F133" s="102"/>
    </row>
    <row r="134" spans="1:6" s="96" customFormat="1" ht="15">
      <c r="A134" s="182"/>
      <c r="B134" s="101"/>
      <c r="C134" s="101"/>
      <c r="D134" s="101"/>
      <c r="E134" s="101"/>
      <c r="F134" s="101"/>
    </row>
    <row r="135" spans="1:6" s="96" customFormat="1" ht="15">
      <c r="A135" s="99" t="s">
        <v>6</v>
      </c>
      <c r="B135" s="100">
        <f t="shared" ref="B135:F135" si="7">B128+7</f>
        <v>11</v>
      </c>
      <c r="C135" s="100">
        <f t="shared" si="7"/>
        <v>12</v>
      </c>
      <c r="D135" s="100">
        <f t="shared" si="7"/>
        <v>13</v>
      </c>
      <c r="E135" s="100">
        <f t="shared" si="7"/>
        <v>14</v>
      </c>
      <c r="F135" s="100">
        <f t="shared" si="7"/>
        <v>15</v>
      </c>
    </row>
    <row r="136" spans="1:6" s="96" customFormat="1" ht="15">
      <c r="A136" s="107" t="s">
        <v>7</v>
      </c>
      <c r="B136" s="106"/>
      <c r="C136" s="103"/>
      <c r="D136" s="109" t="s">
        <v>16</v>
      </c>
      <c r="E136" s="106"/>
      <c r="F136" s="106"/>
    </row>
    <row r="137" spans="1:6" s="96" customFormat="1" ht="15">
      <c r="A137" s="182"/>
      <c r="B137" s="182"/>
      <c r="C137" s="104"/>
      <c r="D137" s="182"/>
      <c r="E137" s="182"/>
      <c r="F137" s="182"/>
    </row>
    <row r="138" spans="1:6" s="96" customFormat="1" ht="15">
      <c r="A138" s="107" t="s">
        <v>13</v>
      </c>
      <c r="B138" s="102"/>
      <c r="C138" s="102"/>
      <c r="D138" s="102"/>
      <c r="E138" s="102"/>
      <c r="F138" s="102"/>
    </row>
    <row r="139" spans="1:6" s="96" customFormat="1" ht="15">
      <c r="A139" s="182"/>
      <c r="B139" s="101"/>
      <c r="C139" s="101"/>
      <c r="D139" s="101"/>
      <c r="E139" s="101"/>
      <c r="F139" s="101"/>
    </row>
    <row r="140" spans="1:6" s="96" customFormat="1" ht="15">
      <c r="A140" s="107" t="s">
        <v>14</v>
      </c>
      <c r="B140" s="102"/>
      <c r="C140" s="102"/>
      <c r="D140" s="102"/>
      <c r="E140" s="102"/>
      <c r="F140" s="102"/>
    </row>
    <row r="141" spans="1:6" s="96" customFormat="1" ht="15">
      <c r="A141" s="182"/>
      <c r="B141" s="101"/>
      <c r="C141" s="101"/>
      <c r="D141" s="101"/>
      <c r="E141" s="101"/>
      <c r="F141" s="101"/>
    </row>
    <row r="142" spans="1:6" s="96" customFormat="1" ht="15">
      <c r="A142" s="99" t="s">
        <v>6</v>
      </c>
      <c r="B142" s="100">
        <f t="shared" ref="B142:F142" si="8">B135+7</f>
        <v>18</v>
      </c>
      <c r="C142" s="100">
        <f t="shared" si="8"/>
        <v>19</v>
      </c>
      <c r="D142" s="100">
        <f t="shared" si="8"/>
        <v>20</v>
      </c>
      <c r="E142" s="100">
        <f t="shared" si="8"/>
        <v>21</v>
      </c>
      <c r="F142" s="100">
        <f t="shared" si="8"/>
        <v>22</v>
      </c>
    </row>
    <row r="143" spans="1:6" s="96" customFormat="1" ht="15">
      <c r="A143" s="107" t="s">
        <v>7</v>
      </c>
      <c r="B143" s="106"/>
      <c r="C143" s="106"/>
      <c r="D143" s="109" t="s">
        <v>16</v>
      </c>
      <c r="E143" s="106"/>
      <c r="F143" s="106"/>
    </row>
    <row r="144" spans="1:6" s="96" customFormat="1" ht="15">
      <c r="A144" s="182"/>
      <c r="B144" s="182"/>
      <c r="C144" s="182"/>
      <c r="D144" s="182"/>
      <c r="E144" s="182"/>
      <c r="F144" s="182"/>
    </row>
    <row r="145" spans="1:6" s="96" customFormat="1" ht="15">
      <c r="A145" s="107" t="s">
        <v>13</v>
      </c>
      <c r="B145" s="102"/>
      <c r="C145" s="102"/>
      <c r="D145" s="102"/>
      <c r="E145" s="102"/>
      <c r="F145" s="102"/>
    </row>
    <row r="146" spans="1:6" s="96" customFormat="1" ht="15">
      <c r="A146" s="182"/>
      <c r="B146" s="101"/>
      <c r="C146" s="101"/>
      <c r="D146" s="101"/>
      <c r="E146" s="101"/>
      <c r="F146" s="101"/>
    </row>
    <row r="147" spans="1:6" s="96" customFormat="1" ht="15">
      <c r="A147" s="107" t="s">
        <v>14</v>
      </c>
      <c r="B147" s="102"/>
      <c r="C147" s="102"/>
      <c r="D147" s="102"/>
      <c r="E147" s="102"/>
      <c r="F147" s="102"/>
    </row>
    <row r="148" spans="1:6" s="96" customFormat="1" ht="15">
      <c r="A148" s="182"/>
      <c r="B148" s="101"/>
      <c r="C148" s="101"/>
      <c r="D148" s="101"/>
      <c r="E148" s="101"/>
      <c r="F148" s="101"/>
    </row>
    <row r="149" spans="1:6" s="96" customFormat="1" ht="15">
      <c r="A149" s="99" t="s">
        <v>6</v>
      </c>
      <c r="B149" s="100">
        <f t="shared" ref="B149:F149" si="9">B142+7</f>
        <v>25</v>
      </c>
      <c r="C149" s="100">
        <f t="shared" si="9"/>
        <v>26</v>
      </c>
      <c r="D149" s="100">
        <f t="shared" si="9"/>
        <v>27</v>
      </c>
      <c r="E149" s="100">
        <f t="shared" si="9"/>
        <v>28</v>
      </c>
      <c r="F149" s="100">
        <f t="shared" si="9"/>
        <v>29</v>
      </c>
    </row>
    <row r="150" spans="1:6" s="96" customFormat="1" ht="15">
      <c r="A150" s="107" t="s">
        <v>7</v>
      </c>
      <c r="B150" s="106"/>
      <c r="C150" s="106"/>
      <c r="D150" s="109" t="s">
        <v>16</v>
      </c>
      <c r="E150" s="106"/>
      <c r="F150" s="106"/>
    </row>
    <row r="151" spans="1:6" s="96" customFormat="1" ht="15">
      <c r="A151" s="182"/>
      <c r="B151" s="182"/>
      <c r="C151" s="182"/>
      <c r="D151" s="182"/>
      <c r="E151" s="182"/>
      <c r="F151" s="182"/>
    </row>
    <row r="152" spans="1:6" s="96" customFormat="1" ht="15">
      <c r="A152" s="107" t="s">
        <v>13</v>
      </c>
      <c r="B152" s="102"/>
      <c r="C152" s="102"/>
      <c r="D152" s="102"/>
      <c r="E152" s="102"/>
      <c r="F152" s="102"/>
    </row>
    <row r="153" spans="1:6" s="96" customFormat="1" ht="15">
      <c r="A153" s="182"/>
      <c r="B153" s="101"/>
      <c r="C153" s="101"/>
      <c r="D153" s="101"/>
      <c r="E153" s="101"/>
      <c r="F153" s="101"/>
    </row>
    <row r="154" spans="1:6" s="96" customFormat="1" ht="15">
      <c r="A154" s="107" t="s">
        <v>14</v>
      </c>
      <c r="B154" s="102"/>
      <c r="C154" s="102"/>
      <c r="D154" s="102"/>
      <c r="E154" s="102"/>
      <c r="F154" s="102"/>
    </row>
    <row r="155" spans="1:6" s="96" customFormat="1" thickBot="1">
      <c r="A155" s="182"/>
      <c r="B155" s="101"/>
      <c r="C155" s="101"/>
      <c r="D155" s="101"/>
      <c r="E155" s="101"/>
      <c r="F155" s="101"/>
    </row>
    <row r="156" spans="1:6" s="96" customFormat="1" thickBot="1">
      <c r="A156" s="111">
        <f>A119+30</f>
        <v>45200</v>
      </c>
      <c r="B156" s="180"/>
      <c r="C156" s="180"/>
      <c r="D156" s="180"/>
      <c r="E156" s="180"/>
      <c r="F156" s="181"/>
    </row>
    <row r="157" spans="1:6" s="96" customFormat="1" ht="15">
      <c r="A157" s="97" t="s">
        <v>0</v>
      </c>
      <c r="B157" s="98" t="s">
        <v>1</v>
      </c>
      <c r="C157" s="98" t="s">
        <v>2</v>
      </c>
      <c r="D157" s="98" t="s">
        <v>3</v>
      </c>
      <c r="E157" s="98" t="s">
        <v>4</v>
      </c>
      <c r="F157" s="98" t="s">
        <v>5</v>
      </c>
    </row>
    <row r="158" spans="1:6" s="96" customFormat="1" ht="15">
      <c r="A158" s="99" t="s">
        <v>6</v>
      </c>
      <c r="B158" s="100">
        <v>2</v>
      </c>
      <c r="C158" s="100">
        <v>3</v>
      </c>
      <c r="D158" s="100">
        <v>4</v>
      </c>
      <c r="E158" s="100">
        <v>5</v>
      </c>
      <c r="F158" s="100">
        <v>6</v>
      </c>
    </row>
    <row r="159" spans="1:6" s="96" customFormat="1" ht="15">
      <c r="A159" s="107" t="s">
        <v>7</v>
      </c>
      <c r="B159" s="106"/>
      <c r="C159" s="106"/>
      <c r="D159" s="109" t="s">
        <v>16</v>
      </c>
      <c r="E159" s="106"/>
      <c r="F159" s="106"/>
    </row>
    <row r="160" spans="1:6" s="96" customFormat="1" ht="15">
      <c r="A160" s="182"/>
      <c r="B160" s="182"/>
      <c r="C160" s="182"/>
      <c r="D160" s="182"/>
      <c r="E160" s="182"/>
      <c r="F160" s="182"/>
    </row>
    <row r="161" spans="1:6" s="96" customFormat="1" ht="15">
      <c r="A161" s="107" t="s">
        <v>13</v>
      </c>
      <c r="B161" s="102"/>
      <c r="C161" s="102"/>
      <c r="D161" s="102"/>
      <c r="E161" s="102"/>
      <c r="F161" s="102"/>
    </row>
    <row r="162" spans="1:6" s="96" customFormat="1" ht="15">
      <c r="A162" s="182"/>
      <c r="B162" s="101"/>
      <c r="C162" s="101"/>
      <c r="D162" s="101"/>
      <c r="E162" s="101"/>
      <c r="F162" s="101"/>
    </row>
    <row r="163" spans="1:6" s="96" customFormat="1" ht="15">
      <c r="A163" s="107" t="s">
        <v>14</v>
      </c>
      <c r="B163" s="102"/>
      <c r="C163" s="102"/>
      <c r="D163" s="102"/>
      <c r="E163" s="102"/>
      <c r="F163" s="102"/>
    </row>
    <row r="164" spans="1:6" s="96" customFormat="1" ht="15">
      <c r="A164" s="182"/>
      <c r="B164" s="101"/>
      <c r="C164" s="101"/>
      <c r="D164" s="101"/>
      <c r="E164" s="101"/>
      <c r="F164" s="101"/>
    </row>
    <row r="165" spans="1:6" s="96" customFormat="1" ht="15">
      <c r="A165" s="99" t="s">
        <v>6</v>
      </c>
      <c r="B165" s="100">
        <f t="shared" ref="B165:F165" si="10">B158+7</f>
        <v>9</v>
      </c>
      <c r="C165" s="100">
        <f t="shared" si="10"/>
        <v>10</v>
      </c>
      <c r="D165" s="100">
        <f t="shared" si="10"/>
        <v>11</v>
      </c>
      <c r="E165" s="100">
        <f t="shared" si="10"/>
        <v>12</v>
      </c>
      <c r="F165" s="100">
        <f t="shared" si="10"/>
        <v>13</v>
      </c>
    </row>
    <row r="166" spans="1:6" s="96" customFormat="1" ht="15">
      <c r="A166" s="107" t="s">
        <v>7</v>
      </c>
      <c r="B166" s="106"/>
      <c r="C166" s="106"/>
      <c r="D166" s="109" t="s">
        <v>16</v>
      </c>
      <c r="E166" s="106"/>
      <c r="F166" s="106"/>
    </row>
    <row r="167" spans="1:6" s="96" customFormat="1" ht="15">
      <c r="A167" s="182"/>
      <c r="B167" s="182"/>
      <c r="C167" s="182"/>
      <c r="D167" s="182"/>
      <c r="E167" s="182"/>
      <c r="F167" s="182"/>
    </row>
    <row r="168" spans="1:6" s="96" customFormat="1" ht="15">
      <c r="A168" s="107" t="s">
        <v>13</v>
      </c>
      <c r="B168" s="102"/>
      <c r="C168" s="102"/>
      <c r="D168" s="102"/>
      <c r="E168" s="102"/>
      <c r="F168" s="102"/>
    </row>
    <row r="169" spans="1:6" s="96" customFormat="1" ht="15">
      <c r="A169" s="182"/>
      <c r="B169" s="101"/>
      <c r="C169" s="101"/>
      <c r="D169" s="101"/>
      <c r="E169" s="101"/>
      <c r="F169" s="101"/>
    </row>
    <row r="170" spans="1:6" s="96" customFormat="1" ht="15">
      <c r="A170" s="107" t="s">
        <v>14</v>
      </c>
      <c r="B170" s="102"/>
      <c r="C170" s="102"/>
      <c r="D170" s="102"/>
      <c r="E170" s="102"/>
      <c r="F170" s="102"/>
    </row>
    <row r="171" spans="1:6" s="96" customFormat="1" ht="15">
      <c r="A171" s="182"/>
      <c r="B171" s="101"/>
      <c r="C171" s="101"/>
      <c r="D171" s="101"/>
      <c r="E171" s="101"/>
      <c r="F171" s="101"/>
    </row>
    <row r="172" spans="1:6" s="96" customFormat="1" ht="15">
      <c r="A172" s="99" t="s">
        <v>6</v>
      </c>
      <c r="B172" s="100">
        <f t="shared" ref="B172:F172" si="11">B165+7</f>
        <v>16</v>
      </c>
      <c r="C172" s="100">
        <f t="shared" si="11"/>
        <v>17</v>
      </c>
      <c r="D172" s="100">
        <f t="shared" si="11"/>
        <v>18</v>
      </c>
      <c r="E172" s="100">
        <f t="shared" si="11"/>
        <v>19</v>
      </c>
      <c r="F172" s="100">
        <f t="shared" si="11"/>
        <v>20</v>
      </c>
    </row>
    <row r="173" spans="1:6" s="96" customFormat="1" ht="15">
      <c r="A173" s="107" t="s">
        <v>7</v>
      </c>
      <c r="B173" s="106"/>
      <c r="C173" s="103"/>
      <c r="D173" s="109" t="s">
        <v>16</v>
      </c>
      <c r="E173" s="106"/>
      <c r="F173" s="106"/>
    </row>
    <row r="174" spans="1:6" s="96" customFormat="1" ht="15">
      <c r="A174" s="182"/>
      <c r="B174" s="182"/>
      <c r="C174" s="104"/>
      <c r="D174" s="182"/>
      <c r="E174" s="182"/>
      <c r="F174" s="182"/>
    </row>
    <row r="175" spans="1:6" s="96" customFormat="1" ht="15">
      <c r="A175" s="107" t="s">
        <v>13</v>
      </c>
      <c r="B175" s="102"/>
      <c r="C175" s="102"/>
      <c r="D175" s="102"/>
      <c r="E175" s="102"/>
      <c r="F175" s="102"/>
    </row>
    <row r="176" spans="1:6" s="96" customFormat="1" ht="15">
      <c r="A176" s="182"/>
      <c r="B176" s="101"/>
      <c r="C176" s="101"/>
      <c r="D176" s="101"/>
      <c r="E176" s="101"/>
      <c r="F176" s="101"/>
    </row>
    <row r="177" spans="1:6" s="96" customFormat="1" ht="15">
      <c r="A177" s="107" t="s">
        <v>14</v>
      </c>
      <c r="B177" s="102"/>
      <c r="C177" s="102"/>
      <c r="D177" s="102"/>
      <c r="E177" s="102"/>
      <c r="F177" s="102"/>
    </row>
    <row r="178" spans="1:6" s="96" customFormat="1" ht="15">
      <c r="A178" s="182"/>
      <c r="B178" s="101"/>
      <c r="C178" s="101"/>
      <c r="D178" s="101"/>
      <c r="E178" s="101"/>
      <c r="F178" s="101"/>
    </row>
    <row r="179" spans="1:6" s="96" customFormat="1" ht="15">
      <c r="A179" s="99" t="s">
        <v>6</v>
      </c>
      <c r="B179" s="100">
        <f t="shared" ref="B179:F179" si="12">B172+7</f>
        <v>23</v>
      </c>
      <c r="C179" s="100">
        <f t="shared" si="12"/>
        <v>24</v>
      </c>
      <c r="D179" s="100">
        <f t="shared" si="12"/>
        <v>25</v>
      </c>
      <c r="E179" s="100">
        <f t="shared" si="12"/>
        <v>26</v>
      </c>
      <c r="F179" s="100">
        <f t="shared" si="12"/>
        <v>27</v>
      </c>
    </row>
    <row r="180" spans="1:6" s="96" customFormat="1" ht="15">
      <c r="A180" s="107" t="s">
        <v>7</v>
      </c>
      <c r="B180" s="106"/>
      <c r="C180" s="106"/>
      <c r="D180" s="109" t="s">
        <v>16</v>
      </c>
      <c r="E180" s="106"/>
      <c r="F180" s="106"/>
    </row>
    <row r="181" spans="1:6" s="96" customFormat="1" ht="15">
      <c r="A181" s="182"/>
      <c r="B181" s="182"/>
      <c r="C181" s="182"/>
      <c r="D181" s="182"/>
      <c r="E181" s="182"/>
      <c r="F181" s="182"/>
    </row>
    <row r="182" spans="1:6" s="96" customFormat="1" ht="15">
      <c r="A182" s="107" t="s">
        <v>13</v>
      </c>
      <c r="B182" s="102"/>
      <c r="C182" s="102"/>
      <c r="D182" s="102"/>
      <c r="E182" s="102"/>
      <c r="F182" s="102"/>
    </row>
    <row r="183" spans="1:6" s="96" customFormat="1" ht="15">
      <c r="A183" s="182"/>
      <c r="B183" s="101"/>
      <c r="C183" s="101"/>
      <c r="D183" s="101"/>
      <c r="E183" s="101"/>
      <c r="F183" s="101"/>
    </row>
    <row r="184" spans="1:6" s="96" customFormat="1" ht="15">
      <c r="A184" s="107" t="s">
        <v>14</v>
      </c>
      <c r="B184" s="102"/>
      <c r="C184" s="102"/>
      <c r="D184" s="102"/>
      <c r="E184" s="102"/>
      <c r="F184" s="102"/>
    </row>
    <row r="185" spans="1:6" s="96" customFormat="1" ht="15">
      <c r="A185" s="182"/>
      <c r="B185" s="101"/>
      <c r="C185" s="101"/>
      <c r="D185" s="101"/>
      <c r="E185" s="101"/>
      <c r="F185" s="101"/>
    </row>
    <row r="186" spans="1:6" s="96" customFormat="1" ht="15">
      <c r="A186" s="99" t="s">
        <v>6</v>
      </c>
      <c r="B186" s="100">
        <f t="shared" ref="B186:C186" si="13">B179+7</f>
        <v>30</v>
      </c>
      <c r="C186" s="100">
        <f t="shared" si="13"/>
        <v>31</v>
      </c>
      <c r="D186" s="108"/>
      <c r="E186" s="108"/>
      <c r="F186" s="108"/>
    </row>
    <row r="187" spans="1:6" s="96" customFormat="1" ht="15">
      <c r="A187" s="107" t="s">
        <v>7</v>
      </c>
      <c r="B187" s="106"/>
      <c r="C187" s="106"/>
      <c r="D187" s="183"/>
      <c r="E187" s="183"/>
      <c r="F187" s="183"/>
    </row>
    <row r="188" spans="1:6" s="96" customFormat="1" ht="15">
      <c r="A188" s="182"/>
      <c r="B188" s="182"/>
      <c r="C188" s="182"/>
      <c r="D188" s="183"/>
      <c r="E188" s="183"/>
      <c r="F188" s="183"/>
    </row>
    <row r="189" spans="1:6" s="96" customFormat="1" ht="15">
      <c r="A189" s="107" t="s">
        <v>13</v>
      </c>
      <c r="B189" s="102"/>
      <c r="C189" s="102"/>
      <c r="D189" s="183"/>
      <c r="E189" s="183"/>
      <c r="F189" s="183"/>
    </row>
    <row r="190" spans="1:6" s="96" customFormat="1" ht="15">
      <c r="A190" s="182"/>
      <c r="B190" s="101"/>
      <c r="C190" s="101"/>
      <c r="D190" s="183"/>
      <c r="E190" s="183"/>
      <c r="F190" s="183"/>
    </row>
    <row r="191" spans="1:6" s="96" customFormat="1" ht="15">
      <c r="A191" s="107" t="s">
        <v>14</v>
      </c>
      <c r="B191" s="102"/>
      <c r="C191" s="102"/>
      <c r="D191" s="183"/>
      <c r="E191" s="183"/>
      <c r="F191" s="183"/>
    </row>
    <row r="192" spans="1:6" s="96" customFormat="1" thickBot="1">
      <c r="A192" s="182"/>
      <c r="B192" s="101"/>
      <c r="C192" s="101"/>
      <c r="D192" s="182"/>
      <c r="E192" s="182"/>
      <c r="F192" s="182"/>
    </row>
    <row r="193" spans="1:6" s="96" customFormat="1" thickBot="1">
      <c r="A193" s="111">
        <f>A156+31</f>
        <v>45231</v>
      </c>
      <c r="B193" s="180"/>
      <c r="C193" s="180"/>
      <c r="D193" s="180"/>
      <c r="E193" s="180"/>
      <c r="F193" s="181"/>
    </row>
    <row r="194" spans="1:6" s="96" customFormat="1" ht="15">
      <c r="A194" s="97" t="s">
        <v>0</v>
      </c>
      <c r="B194" s="98" t="s">
        <v>1</v>
      </c>
      <c r="C194" s="98" t="s">
        <v>2</v>
      </c>
      <c r="D194" s="98" t="s">
        <v>3</v>
      </c>
      <c r="E194" s="98" t="s">
        <v>4</v>
      </c>
      <c r="F194" s="98" t="s">
        <v>5</v>
      </c>
    </row>
    <row r="195" spans="1:6" s="96" customFormat="1" ht="15">
      <c r="A195" s="99" t="s">
        <v>6</v>
      </c>
      <c r="B195" s="108"/>
      <c r="C195" s="108"/>
      <c r="D195" s="100">
        <v>1</v>
      </c>
      <c r="E195" s="100">
        <v>2</v>
      </c>
      <c r="F195" s="100">
        <v>3</v>
      </c>
    </row>
    <row r="196" spans="1:6" s="96" customFormat="1" ht="15">
      <c r="A196" s="107" t="s">
        <v>7</v>
      </c>
      <c r="B196" s="183"/>
      <c r="C196" s="183"/>
      <c r="D196" s="109" t="s">
        <v>16</v>
      </c>
      <c r="E196" s="106"/>
      <c r="F196" s="106"/>
    </row>
    <row r="197" spans="1:6" s="96" customFormat="1" ht="15">
      <c r="A197" s="182"/>
      <c r="B197" s="183"/>
      <c r="C197" s="183"/>
      <c r="D197" s="182"/>
      <c r="E197" s="182"/>
      <c r="F197" s="182"/>
    </row>
    <row r="198" spans="1:6" s="96" customFormat="1" ht="15">
      <c r="A198" s="107" t="s">
        <v>13</v>
      </c>
      <c r="B198" s="183"/>
      <c r="C198" s="183"/>
      <c r="D198" s="102"/>
      <c r="E198" s="102"/>
      <c r="F198" s="102"/>
    </row>
    <row r="199" spans="1:6" s="96" customFormat="1" ht="15">
      <c r="A199" s="182"/>
      <c r="B199" s="183"/>
      <c r="C199" s="183"/>
      <c r="D199" s="101"/>
      <c r="E199" s="101"/>
      <c r="F199" s="101"/>
    </row>
    <row r="200" spans="1:6" s="96" customFormat="1" ht="15">
      <c r="A200" s="107" t="s">
        <v>14</v>
      </c>
      <c r="B200" s="183"/>
      <c r="C200" s="183"/>
      <c r="D200" s="102"/>
      <c r="E200" s="102"/>
      <c r="F200" s="102"/>
    </row>
    <row r="201" spans="1:6" s="96" customFormat="1" ht="15">
      <c r="A201" s="182"/>
      <c r="B201" s="182"/>
      <c r="C201" s="182"/>
      <c r="D201" s="101"/>
      <c r="E201" s="101"/>
      <c r="F201" s="101"/>
    </row>
    <row r="202" spans="1:6" s="96" customFormat="1" ht="15">
      <c r="A202" s="99" t="s">
        <v>6</v>
      </c>
      <c r="B202" s="100">
        <v>6</v>
      </c>
      <c r="C202" s="100">
        <v>7</v>
      </c>
      <c r="D202" s="100">
        <f t="shared" ref="D202:F202" si="14">D195+7</f>
        <v>8</v>
      </c>
      <c r="E202" s="100">
        <f t="shared" si="14"/>
        <v>9</v>
      </c>
      <c r="F202" s="100">
        <f t="shared" si="14"/>
        <v>10</v>
      </c>
    </row>
    <row r="203" spans="1:6" s="96" customFormat="1" ht="15">
      <c r="A203" s="107" t="s">
        <v>7</v>
      </c>
      <c r="B203" s="106"/>
      <c r="C203" s="106"/>
      <c r="D203" s="109" t="s">
        <v>16</v>
      </c>
      <c r="E203" s="106"/>
      <c r="F203" s="106"/>
    </row>
    <row r="204" spans="1:6" s="96" customFormat="1" ht="15">
      <c r="A204" s="182"/>
      <c r="B204" s="182"/>
      <c r="C204" s="182"/>
      <c r="D204" s="182"/>
      <c r="E204" s="182"/>
      <c r="F204" s="182"/>
    </row>
    <row r="205" spans="1:6" s="96" customFormat="1" ht="15">
      <c r="A205" s="107" t="s">
        <v>13</v>
      </c>
      <c r="B205" s="102"/>
      <c r="C205" s="102"/>
      <c r="D205" s="102"/>
      <c r="E205" s="102"/>
      <c r="F205" s="102"/>
    </row>
    <row r="206" spans="1:6" s="96" customFormat="1" ht="15">
      <c r="A206" s="182"/>
      <c r="B206" s="101"/>
      <c r="C206" s="101"/>
      <c r="D206" s="101"/>
      <c r="E206" s="101"/>
      <c r="F206" s="101"/>
    </row>
    <row r="207" spans="1:6" s="96" customFormat="1" ht="15">
      <c r="A207" s="107" t="s">
        <v>14</v>
      </c>
      <c r="B207" s="102"/>
      <c r="C207" s="102"/>
      <c r="D207" s="102"/>
      <c r="E207" s="102"/>
      <c r="F207" s="102"/>
    </row>
    <row r="208" spans="1:6" s="96" customFormat="1" ht="15">
      <c r="A208" s="182"/>
      <c r="B208" s="101"/>
      <c r="C208" s="101"/>
      <c r="D208" s="101"/>
      <c r="E208" s="101"/>
      <c r="F208" s="101"/>
    </row>
    <row r="209" spans="1:6" s="96" customFormat="1" ht="15">
      <c r="A209" s="99" t="s">
        <v>6</v>
      </c>
      <c r="B209" s="100">
        <f t="shared" ref="B209:F209" si="15">B202+7</f>
        <v>13</v>
      </c>
      <c r="C209" s="100">
        <f t="shared" si="15"/>
        <v>14</v>
      </c>
      <c r="D209" s="100">
        <f t="shared" si="15"/>
        <v>15</v>
      </c>
      <c r="E209" s="100">
        <f t="shared" si="15"/>
        <v>16</v>
      </c>
      <c r="F209" s="100">
        <f t="shared" si="15"/>
        <v>17</v>
      </c>
    </row>
    <row r="210" spans="1:6" s="96" customFormat="1" ht="15">
      <c r="A210" s="107" t="s">
        <v>7</v>
      </c>
      <c r="B210" s="110" t="s">
        <v>64</v>
      </c>
      <c r="C210" s="103"/>
      <c r="D210" s="109" t="s">
        <v>16</v>
      </c>
      <c r="E210" s="106"/>
      <c r="F210" s="106"/>
    </row>
    <row r="211" spans="1:6" s="96" customFormat="1" ht="15">
      <c r="A211" s="182"/>
      <c r="B211" s="183"/>
      <c r="C211" s="104"/>
      <c r="D211" s="182"/>
      <c r="E211" s="182"/>
      <c r="F211" s="182"/>
    </row>
    <row r="212" spans="1:6" s="96" customFormat="1" ht="15">
      <c r="A212" s="107" t="s">
        <v>13</v>
      </c>
      <c r="B212" s="183"/>
      <c r="C212" s="102"/>
      <c r="D212" s="102"/>
      <c r="E212" s="102"/>
      <c r="F212" s="102"/>
    </row>
    <row r="213" spans="1:6" s="96" customFormat="1" ht="15">
      <c r="A213" s="182"/>
      <c r="B213" s="183"/>
      <c r="C213" s="101"/>
      <c r="D213" s="101"/>
      <c r="E213" s="101"/>
      <c r="F213" s="101"/>
    </row>
    <row r="214" spans="1:6" s="96" customFormat="1" ht="15">
      <c r="A214" s="107" t="s">
        <v>14</v>
      </c>
      <c r="B214" s="183"/>
      <c r="C214" s="102"/>
      <c r="D214" s="102"/>
      <c r="E214" s="102"/>
      <c r="F214" s="102"/>
    </row>
    <row r="215" spans="1:6" s="96" customFormat="1" ht="15">
      <c r="A215" s="182"/>
      <c r="B215" s="182"/>
      <c r="C215" s="101"/>
      <c r="D215" s="101"/>
      <c r="E215" s="101"/>
      <c r="F215" s="101"/>
    </row>
    <row r="216" spans="1:6" s="96" customFormat="1" ht="15">
      <c r="A216" s="99" t="s">
        <v>6</v>
      </c>
      <c r="B216" s="100">
        <f t="shared" ref="B216:F216" si="16">B209+7</f>
        <v>20</v>
      </c>
      <c r="C216" s="100">
        <f t="shared" si="16"/>
        <v>21</v>
      </c>
      <c r="D216" s="100">
        <f t="shared" si="16"/>
        <v>22</v>
      </c>
      <c r="E216" s="100">
        <f t="shared" si="16"/>
        <v>23</v>
      </c>
      <c r="F216" s="100">
        <f t="shared" si="16"/>
        <v>24</v>
      </c>
    </row>
    <row r="217" spans="1:6" s="96" customFormat="1" ht="15">
      <c r="A217" s="107" t="s">
        <v>7</v>
      </c>
      <c r="B217" s="106"/>
      <c r="C217" s="106"/>
      <c r="D217" s="109" t="s">
        <v>16</v>
      </c>
      <c r="E217" s="106"/>
      <c r="F217" s="106"/>
    </row>
    <row r="218" spans="1:6" s="96" customFormat="1" ht="15">
      <c r="A218" s="182"/>
      <c r="B218" s="182"/>
      <c r="C218" s="182"/>
      <c r="D218" s="182"/>
      <c r="E218" s="182"/>
      <c r="F218" s="182"/>
    </row>
    <row r="219" spans="1:6" s="96" customFormat="1" ht="15">
      <c r="A219" s="107" t="s">
        <v>13</v>
      </c>
      <c r="B219" s="102"/>
      <c r="C219" s="102"/>
      <c r="D219" s="102"/>
      <c r="E219" s="102"/>
      <c r="F219" s="102"/>
    </row>
    <row r="220" spans="1:6" s="96" customFormat="1" ht="15">
      <c r="A220" s="182"/>
      <c r="B220" s="101"/>
      <c r="C220" s="101"/>
      <c r="D220" s="101"/>
      <c r="E220" s="101"/>
      <c r="F220" s="101"/>
    </row>
    <row r="221" spans="1:6" s="96" customFormat="1" ht="15">
      <c r="A221" s="107" t="s">
        <v>14</v>
      </c>
      <c r="B221" s="102"/>
      <c r="C221" s="102"/>
      <c r="D221" s="102"/>
      <c r="E221" s="102"/>
      <c r="F221" s="102"/>
    </row>
    <row r="222" spans="1:6" s="96" customFormat="1" ht="15">
      <c r="A222" s="182"/>
      <c r="B222" s="101"/>
      <c r="C222" s="101"/>
      <c r="D222" s="101"/>
      <c r="E222" s="101"/>
      <c r="F222" s="101"/>
    </row>
    <row r="223" spans="1:6" s="96" customFormat="1" ht="15">
      <c r="A223" s="99" t="s">
        <v>6</v>
      </c>
      <c r="B223" s="100">
        <f t="shared" ref="B223:E223" si="17">B216+7</f>
        <v>27</v>
      </c>
      <c r="C223" s="100">
        <f t="shared" si="17"/>
        <v>28</v>
      </c>
      <c r="D223" s="100">
        <f t="shared" si="17"/>
        <v>29</v>
      </c>
      <c r="E223" s="100">
        <f t="shared" si="17"/>
        <v>30</v>
      </c>
      <c r="F223" s="108"/>
    </row>
    <row r="224" spans="1:6" s="96" customFormat="1" ht="15">
      <c r="A224" s="107" t="s">
        <v>7</v>
      </c>
      <c r="B224" s="106"/>
      <c r="C224" s="106"/>
      <c r="D224" s="109" t="s">
        <v>16</v>
      </c>
      <c r="E224" s="106"/>
      <c r="F224" s="183"/>
    </row>
    <row r="225" spans="1:6" s="96" customFormat="1" ht="15">
      <c r="A225" s="182"/>
      <c r="B225" s="182"/>
      <c r="C225" s="182"/>
      <c r="D225" s="182"/>
      <c r="E225" s="182"/>
      <c r="F225" s="183"/>
    </row>
    <row r="226" spans="1:6" s="96" customFormat="1" ht="15">
      <c r="A226" s="107" t="s">
        <v>13</v>
      </c>
      <c r="B226" s="102"/>
      <c r="C226" s="102"/>
      <c r="D226" s="102"/>
      <c r="E226" s="102"/>
      <c r="F226" s="183"/>
    </row>
    <row r="227" spans="1:6" s="96" customFormat="1" ht="15">
      <c r="A227" s="182"/>
      <c r="B227" s="101"/>
      <c r="C227" s="101"/>
      <c r="D227" s="101"/>
      <c r="E227" s="101"/>
      <c r="F227" s="183"/>
    </row>
    <row r="228" spans="1:6" s="96" customFormat="1" ht="15">
      <c r="A228" s="107" t="s">
        <v>14</v>
      </c>
      <c r="B228" s="102"/>
      <c r="C228" s="102"/>
      <c r="D228" s="102"/>
      <c r="E228" s="102"/>
      <c r="F228" s="183"/>
    </row>
    <row r="229" spans="1:6" s="96" customFormat="1" thickBot="1">
      <c r="A229" s="182"/>
      <c r="B229" s="101"/>
      <c r="C229" s="101"/>
      <c r="D229" s="101"/>
      <c r="E229" s="101"/>
      <c r="F229" s="182"/>
    </row>
    <row r="230" spans="1:6" s="96" customFormat="1" thickBot="1">
      <c r="A230" s="111">
        <f>A193+31</f>
        <v>45262</v>
      </c>
      <c r="B230" s="180"/>
      <c r="C230" s="180"/>
      <c r="D230" s="180"/>
      <c r="E230" s="180"/>
      <c r="F230" s="181"/>
    </row>
    <row r="231" spans="1:6" s="96" customFormat="1" ht="15">
      <c r="A231" s="97" t="s">
        <v>0</v>
      </c>
      <c r="B231" s="98" t="s">
        <v>1</v>
      </c>
      <c r="C231" s="98" t="s">
        <v>2</v>
      </c>
      <c r="D231" s="98" t="s">
        <v>3</v>
      </c>
      <c r="E231" s="98" t="s">
        <v>4</v>
      </c>
      <c r="F231" s="98" t="s">
        <v>5</v>
      </c>
    </row>
    <row r="232" spans="1:6" s="96" customFormat="1" ht="15">
      <c r="A232" s="99" t="s">
        <v>6</v>
      </c>
      <c r="B232" s="108"/>
      <c r="C232" s="108"/>
      <c r="D232" s="108"/>
      <c r="E232" s="108"/>
      <c r="F232" s="100">
        <v>1</v>
      </c>
    </row>
    <row r="233" spans="1:6" s="96" customFormat="1" ht="15">
      <c r="A233" s="107" t="s">
        <v>7</v>
      </c>
      <c r="B233" s="183"/>
      <c r="C233" s="183"/>
      <c r="D233" s="183"/>
      <c r="E233" s="183"/>
      <c r="F233" s="106"/>
    </row>
    <row r="234" spans="1:6" s="96" customFormat="1" ht="15">
      <c r="A234" s="182"/>
      <c r="B234" s="183"/>
      <c r="C234" s="183"/>
      <c r="D234" s="183"/>
      <c r="E234" s="183"/>
      <c r="F234" s="182"/>
    </row>
    <row r="235" spans="1:6" s="96" customFormat="1" ht="15">
      <c r="A235" s="107" t="s">
        <v>13</v>
      </c>
      <c r="B235" s="183"/>
      <c r="C235" s="183"/>
      <c r="D235" s="183"/>
      <c r="E235" s="183"/>
      <c r="F235" s="102"/>
    </row>
    <row r="236" spans="1:6" s="96" customFormat="1" ht="15">
      <c r="A236" s="182"/>
      <c r="B236" s="183"/>
      <c r="C236" s="183"/>
      <c r="D236" s="183"/>
      <c r="E236" s="183"/>
      <c r="F236" s="101"/>
    </row>
    <row r="237" spans="1:6" s="96" customFormat="1" ht="15">
      <c r="A237" s="107" t="s">
        <v>14</v>
      </c>
      <c r="B237" s="183"/>
      <c r="C237" s="183"/>
      <c r="D237" s="183"/>
      <c r="E237" s="183"/>
      <c r="F237" s="102"/>
    </row>
    <row r="238" spans="1:6" s="96" customFormat="1" ht="15">
      <c r="A238" s="182"/>
      <c r="B238" s="182"/>
      <c r="C238" s="182"/>
      <c r="D238" s="182"/>
      <c r="E238" s="182"/>
      <c r="F238" s="101"/>
    </row>
    <row r="239" spans="1:6" s="96" customFormat="1" ht="15">
      <c r="A239" s="99" t="s">
        <v>6</v>
      </c>
      <c r="B239" s="100">
        <v>4</v>
      </c>
      <c r="C239" s="100">
        <v>5</v>
      </c>
      <c r="D239" s="100">
        <v>6</v>
      </c>
      <c r="E239" s="100">
        <v>7</v>
      </c>
      <c r="F239" s="100">
        <f>F232+7</f>
        <v>8</v>
      </c>
    </row>
    <row r="240" spans="1:6" s="96" customFormat="1" ht="15">
      <c r="A240" s="107" t="s">
        <v>7</v>
      </c>
      <c r="B240" s="106"/>
      <c r="C240" s="106"/>
      <c r="D240" s="109" t="s">
        <v>16</v>
      </c>
      <c r="E240" s="106"/>
      <c r="F240" s="106"/>
    </row>
    <row r="241" spans="1:6" s="96" customFormat="1" ht="15">
      <c r="A241" s="182"/>
      <c r="B241" s="182"/>
      <c r="C241" s="182"/>
      <c r="D241" s="182"/>
      <c r="E241" s="182"/>
      <c r="F241" s="182"/>
    </row>
    <row r="242" spans="1:6" s="96" customFormat="1" ht="15">
      <c r="A242" s="107" t="s">
        <v>13</v>
      </c>
      <c r="B242" s="102"/>
      <c r="C242" s="102"/>
      <c r="D242" s="102"/>
      <c r="E242" s="102"/>
      <c r="F242" s="102"/>
    </row>
    <row r="243" spans="1:6" s="96" customFormat="1" ht="15">
      <c r="A243" s="182"/>
      <c r="B243" s="101"/>
      <c r="C243" s="101"/>
      <c r="D243" s="101"/>
      <c r="E243" s="101"/>
      <c r="F243" s="101"/>
    </row>
    <row r="244" spans="1:6" s="96" customFormat="1" ht="15">
      <c r="A244" s="107" t="s">
        <v>14</v>
      </c>
      <c r="B244" s="102"/>
      <c r="C244" s="102"/>
      <c r="D244" s="102"/>
      <c r="E244" s="102"/>
      <c r="F244" s="102"/>
    </row>
    <row r="245" spans="1:6" s="96" customFormat="1" ht="15">
      <c r="A245" s="182"/>
      <c r="B245" s="101"/>
      <c r="C245" s="101"/>
      <c r="D245" s="101"/>
      <c r="E245" s="101"/>
      <c r="F245" s="101"/>
    </row>
    <row r="246" spans="1:6" s="96" customFormat="1" ht="15">
      <c r="A246" s="99" t="s">
        <v>6</v>
      </c>
      <c r="B246" s="100">
        <f t="shared" ref="B246:F246" si="18">B239+7</f>
        <v>11</v>
      </c>
      <c r="C246" s="100">
        <f t="shared" si="18"/>
        <v>12</v>
      </c>
      <c r="D246" s="100">
        <f t="shared" si="18"/>
        <v>13</v>
      </c>
      <c r="E246" s="100">
        <f t="shared" si="18"/>
        <v>14</v>
      </c>
      <c r="F246" s="100">
        <f t="shared" si="18"/>
        <v>15</v>
      </c>
    </row>
    <row r="247" spans="1:6" s="96" customFormat="1" ht="15">
      <c r="A247" s="107" t="s">
        <v>7</v>
      </c>
      <c r="B247" s="106"/>
      <c r="C247" s="103"/>
      <c r="D247" s="109" t="s">
        <v>16</v>
      </c>
      <c r="E247" s="106"/>
      <c r="F247" s="106"/>
    </row>
    <row r="248" spans="1:6" s="96" customFormat="1" ht="15">
      <c r="A248" s="182"/>
      <c r="B248" s="182"/>
      <c r="C248" s="104"/>
      <c r="D248" s="182"/>
      <c r="E248" s="182"/>
      <c r="F248" s="182"/>
    </row>
    <row r="249" spans="1:6" s="96" customFormat="1" ht="15">
      <c r="A249" s="107" t="s">
        <v>13</v>
      </c>
      <c r="B249" s="102"/>
      <c r="C249" s="102"/>
      <c r="D249" s="102"/>
      <c r="E249" s="102"/>
      <c r="F249" s="102"/>
    </row>
    <row r="250" spans="1:6" s="96" customFormat="1" ht="15">
      <c r="A250" s="182"/>
      <c r="B250" s="101"/>
      <c r="C250" s="101"/>
      <c r="D250" s="101"/>
      <c r="E250" s="101"/>
      <c r="F250" s="101"/>
    </row>
    <row r="251" spans="1:6" s="96" customFormat="1" ht="15">
      <c r="A251" s="107" t="s">
        <v>14</v>
      </c>
      <c r="B251" s="102"/>
      <c r="C251" s="102"/>
      <c r="D251" s="102"/>
      <c r="E251" s="102"/>
      <c r="F251" s="102"/>
    </row>
    <row r="252" spans="1:6" s="96" customFormat="1" ht="15">
      <c r="A252" s="182"/>
      <c r="B252" s="101"/>
      <c r="C252" s="101"/>
      <c r="D252" s="101"/>
      <c r="E252" s="101"/>
      <c r="F252" s="101"/>
    </row>
    <row r="253" spans="1:6" s="96" customFormat="1" ht="15">
      <c r="A253" s="99" t="s">
        <v>6</v>
      </c>
      <c r="B253" s="100">
        <f t="shared" ref="B253:F253" si="19">B246+7</f>
        <v>18</v>
      </c>
      <c r="C253" s="100">
        <f t="shared" si="19"/>
        <v>19</v>
      </c>
      <c r="D253" s="100">
        <f t="shared" si="19"/>
        <v>20</v>
      </c>
      <c r="E253" s="100">
        <f t="shared" si="19"/>
        <v>21</v>
      </c>
      <c r="F253" s="100">
        <f t="shared" si="19"/>
        <v>22</v>
      </c>
    </row>
    <row r="254" spans="1:6" s="96" customFormat="1" ht="15">
      <c r="A254" s="107" t="s">
        <v>7</v>
      </c>
      <c r="B254" s="106"/>
      <c r="C254" s="106"/>
      <c r="D254" s="109" t="s">
        <v>16</v>
      </c>
      <c r="E254" s="106"/>
      <c r="F254" s="106"/>
    </row>
    <row r="255" spans="1:6" s="96" customFormat="1" ht="15">
      <c r="A255" s="182"/>
      <c r="B255" s="182"/>
      <c r="C255" s="182"/>
      <c r="D255" s="182"/>
      <c r="E255" s="182"/>
      <c r="F255" s="182"/>
    </row>
    <row r="256" spans="1:6" s="96" customFormat="1" ht="15">
      <c r="A256" s="107" t="s">
        <v>13</v>
      </c>
      <c r="B256" s="102"/>
      <c r="C256" s="102"/>
      <c r="D256" s="102"/>
      <c r="E256" s="102"/>
      <c r="F256" s="102"/>
    </row>
    <row r="257" spans="1:6" s="96" customFormat="1" ht="15">
      <c r="A257" s="182"/>
      <c r="B257" s="101"/>
      <c r="C257" s="101"/>
      <c r="D257" s="101"/>
      <c r="E257" s="101"/>
      <c r="F257" s="101"/>
    </row>
    <row r="258" spans="1:6" s="96" customFormat="1" ht="15">
      <c r="A258" s="107" t="s">
        <v>14</v>
      </c>
      <c r="B258" s="102"/>
      <c r="C258" s="102"/>
      <c r="D258" s="102"/>
      <c r="E258" s="102"/>
      <c r="F258" s="102"/>
    </row>
    <row r="259" spans="1:6" s="96" customFormat="1" ht="15">
      <c r="A259" s="182"/>
      <c r="B259" s="101"/>
      <c r="C259" s="101"/>
      <c r="D259" s="101"/>
      <c r="E259" s="101"/>
      <c r="F259" s="101"/>
    </row>
    <row r="260" spans="1:6" s="96" customFormat="1" ht="15">
      <c r="A260" s="99" t="s">
        <v>6</v>
      </c>
      <c r="B260" s="100">
        <f t="shared" ref="B260:F260" si="20">B253+7</f>
        <v>25</v>
      </c>
      <c r="C260" s="100">
        <f t="shared" si="20"/>
        <v>26</v>
      </c>
      <c r="D260" s="100">
        <f t="shared" si="20"/>
        <v>27</v>
      </c>
      <c r="E260" s="100">
        <f t="shared" si="20"/>
        <v>28</v>
      </c>
      <c r="F260" s="100">
        <f t="shared" si="20"/>
        <v>29</v>
      </c>
    </row>
    <row r="261" spans="1:6" s="96" customFormat="1" ht="15">
      <c r="A261" s="107" t="s">
        <v>7</v>
      </c>
      <c r="B261" s="110" t="s">
        <v>65</v>
      </c>
      <c r="C261" s="106"/>
      <c r="D261" s="109" t="s">
        <v>16</v>
      </c>
      <c r="E261" s="106"/>
      <c r="F261" s="106"/>
    </row>
    <row r="262" spans="1:6" s="96" customFormat="1" ht="15">
      <c r="A262" s="182"/>
      <c r="B262" s="183"/>
      <c r="C262" s="182"/>
      <c r="D262" s="182"/>
      <c r="E262" s="182"/>
      <c r="F262" s="182"/>
    </row>
    <row r="263" spans="1:6" s="96" customFormat="1" ht="15">
      <c r="A263" s="107" t="s">
        <v>13</v>
      </c>
      <c r="B263" s="183"/>
      <c r="C263" s="102"/>
      <c r="D263" s="102"/>
      <c r="E263" s="102"/>
      <c r="F263" s="102"/>
    </row>
    <row r="264" spans="1:6" s="96" customFormat="1" ht="15">
      <c r="A264" s="182"/>
      <c r="B264" s="183"/>
      <c r="C264" s="101"/>
      <c r="D264" s="101"/>
      <c r="E264" s="101"/>
      <c r="F264" s="101"/>
    </row>
    <row r="265" spans="1:6" s="96" customFormat="1" ht="15">
      <c r="A265" s="107" t="s">
        <v>14</v>
      </c>
      <c r="B265" s="183"/>
      <c r="C265" s="102"/>
      <c r="D265" s="102"/>
      <c r="E265" s="102"/>
      <c r="F265" s="102"/>
    </row>
    <row r="266" spans="1:6" s="96" customFormat="1" ht="15">
      <c r="A266" s="182"/>
      <c r="B266" s="182"/>
      <c r="C266" s="101"/>
      <c r="D266" s="101"/>
      <c r="E266" s="101"/>
      <c r="F266" s="101"/>
    </row>
  </sheetData>
  <mergeCells count="325">
    <mergeCell ref="D100:D103"/>
    <mergeCell ref="E100:E101"/>
    <mergeCell ref="F100:F101"/>
    <mergeCell ref="F95:F96"/>
    <mergeCell ref="B105:B106"/>
    <mergeCell ref="E105:F106"/>
    <mergeCell ref="A249:A250"/>
    <mergeCell ref="A251:A252"/>
    <mergeCell ref="A254:A255"/>
    <mergeCell ref="B254:B255"/>
    <mergeCell ref="C254:C255"/>
    <mergeCell ref="D254:D255"/>
    <mergeCell ref="E254:E255"/>
    <mergeCell ref="A230:F230"/>
    <mergeCell ref="B232:B238"/>
    <mergeCell ref="C232:C238"/>
    <mergeCell ref="D232:D238"/>
    <mergeCell ref="E232:E238"/>
    <mergeCell ref="A233:A234"/>
    <mergeCell ref="F233:F234"/>
    <mergeCell ref="A235:A236"/>
    <mergeCell ref="A237:A238"/>
    <mergeCell ref="A187:A188"/>
    <mergeCell ref="A180:A181"/>
    <mergeCell ref="A261:A262"/>
    <mergeCell ref="A247:A248"/>
    <mergeCell ref="A240:A241"/>
    <mergeCell ref="B240:B241"/>
    <mergeCell ref="C240:C241"/>
    <mergeCell ref="D240:D241"/>
    <mergeCell ref="E240:E241"/>
    <mergeCell ref="F240:F241"/>
    <mergeCell ref="A242:A243"/>
    <mergeCell ref="A244:A245"/>
    <mergeCell ref="B247:B248"/>
    <mergeCell ref="D247:D248"/>
    <mergeCell ref="E247:E248"/>
    <mergeCell ref="F247:F248"/>
    <mergeCell ref="F254:F255"/>
    <mergeCell ref="A256:A257"/>
    <mergeCell ref="A258:A259"/>
    <mergeCell ref="B261:B266"/>
    <mergeCell ref="C261:C262"/>
    <mergeCell ref="D261:D262"/>
    <mergeCell ref="E261:E262"/>
    <mergeCell ref="F261:F262"/>
    <mergeCell ref="A263:A264"/>
    <mergeCell ref="A265:A266"/>
    <mergeCell ref="B180:B181"/>
    <mergeCell ref="C180:C181"/>
    <mergeCell ref="D180:D181"/>
    <mergeCell ref="E180:E181"/>
    <mergeCell ref="F180:F181"/>
    <mergeCell ref="A182:A183"/>
    <mergeCell ref="A184:A185"/>
    <mergeCell ref="D186:D192"/>
    <mergeCell ref="E186:E192"/>
    <mergeCell ref="F186:F192"/>
    <mergeCell ref="B187:B188"/>
    <mergeCell ref="C187:C188"/>
    <mergeCell ref="A189:A190"/>
    <mergeCell ref="A191:A192"/>
    <mergeCell ref="A168:A169"/>
    <mergeCell ref="A170:A171"/>
    <mergeCell ref="A173:A174"/>
    <mergeCell ref="B173:B174"/>
    <mergeCell ref="D173:D174"/>
    <mergeCell ref="E173:E174"/>
    <mergeCell ref="F173:F174"/>
    <mergeCell ref="A175:A176"/>
    <mergeCell ref="A177:A178"/>
    <mergeCell ref="F73:F74"/>
    <mergeCell ref="A75:A76"/>
    <mergeCell ref="B78:B79"/>
    <mergeCell ref="D78:D79"/>
    <mergeCell ref="C78:C79"/>
    <mergeCell ref="E78:F79"/>
    <mergeCell ref="A161:A162"/>
    <mergeCell ref="A163:A164"/>
    <mergeCell ref="A166:A167"/>
    <mergeCell ref="B166:B167"/>
    <mergeCell ref="C166:C167"/>
    <mergeCell ref="D166:D167"/>
    <mergeCell ref="E166:E167"/>
    <mergeCell ref="F166:F167"/>
    <mergeCell ref="B115:B116"/>
    <mergeCell ref="D95:E96"/>
    <mergeCell ref="B102:B103"/>
    <mergeCell ref="B107:B108"/>
    <mergeCell ref="C97:C98"/>
    <mergeCell ref="D97:D98"/>
    <mergeCell ref="E97:E98"/>
    <mergeCell ref="F97:F98"/>
    <mergeCell ref="F107:F108"/>
    <mergeCell ref="E107:E108"/>
    <mergeCell ref="A80:A81"/>
    <mergeCell ref="B83:B84"/>
    <mergeCell ref="C83:C84"/>
    <mergeCell ref="D83:D84"/>
    <mergeCell ref="A61:A62"/>
    <mergeCell ref="B61:B62"/>
    <mergeCell ref="C61:C62"/>
    <mergeCell ref="D61:D62"/>
    <mergeCell ref="E61:E64"/>
    <mergeCell ref="A70:A71"/>
    <mergeCell ref="A78:A79"/>
    <mergeCell ref="A73:A74"/>
    <mergeCell ref="B73:B74"/>
    <mergeCell ref="C73:C74"/>
    <mergeCell ref="D73:D74"/>
    <mergeCell ref="E73:E74"/>
    <mergeCell ref="F61:F62"/>
    <mergeCell ref="A63:A64"/>
    <mergeCell ref="A65:F65"/>
    <mergeCell ref="A68:A69"/>
    <mergeCell ref="B68:B69"/>
    <mergeCell ref="C68:C69"/>
    <mergeCell ref="D68:D69"/>
    <mergeCell ref="E68:E69"/>
    <mergeCell ref="F68:F69"/>
    <mergeCell ref="F48:F49"/>
    <mergeCell ref="A36:A37"/>
    <mergeCell ref="A38:F38"/>
    <mergeCell ref="A41:A42"/>
    <mergeCell ref="A43:A44"/>
    <mergeCell ref="B40:B44"/>
    <mergeCell ref="C40:C44"/>
    <mergeCell ref="D40:D44"/>
    <mergeCell ref="E41:E43"/>
    <mergeCell ref="F41:F44"/>
    <mergeCell ref="A46:A47"/>
    <mergeCell ref="B46:B47"/>
    <mergeCell ref="C46:C47"/>
    <mergeCell ref="D46:D47"/>
    <mergeCell ref="E46:E47"/>
    <mergeCell ref="F46:F47"/>
    <mergeCell ref="A48:A49"/>
    <mergeCell ref="E25:F26"/>
    <mergeCell ref="A27:A28"/>
    <mergeCell ref="A29:A30"/>
    <mergeCell ref="E31:E37"/>
    <mergeCell ref="F31:F37"/>
    <mergeCell ref="A32:A33"/>
    <mergeCell ref="B32:B33"/>
    <mergeCell ref="C32:C33"/>
    <mergeCell ref="D32:D33"/>
    <mergeCell ref="A34:A35"/>
    <mergeCell ref="A20:A21"/>
    <mergeCell ref="A22:A23"/>
    <mergeCell ref="A25:A26"/>
    <mergeCell ref="B25:B26"/>
    <mergeCell ref="C25:C26"/>
    <mergeCell ref="D25:D26"/>
    <mergeCell ref="A15:A16"/>
    <mergeCell ref="A18:A19"/>
    <mergeCell ref="B18:B19"/>
    <mergeCell ref="C18:C19"/>
    <mergeCell ref="D18:D19"/>
    <mergeCell ref="E18:F19"/>
    <mergeCell ref="A11:A12"/>
    <mergeCell ref="B11:C12"/>
    <mergeCell ref="D11:D12"/>
    <mergeCell ref="E11:E12"/>
    <mergeCell ref="F11:F12"/>
    <mergeCell ref="A13:A14"/>
    <mergeCell ref="A1:F1"/>
    <mergeCell ref="A4:A5"/>
    <mergeCell ref="B4:B9"/>
    <mergeCell ref="C4:C5"/>
    <mergeCell ref="D4:D5"/>
    <mergeCell ref="E4:E5"/>
    <mergeCell ref="F4:F5"/>
    <mergeCell ref="A6:A7"/>
    <mergeCell ref="A8:A9"/>
    <mergeCell ref="F51:F52"/>
    <mergeCell ref="A53:A54"/>
    <mergeCell ref="A56:A57"/>
    <mergeCell ref="B56:B57"/>
    <mergeCell ref="C56:C57"/>
    <mergeCell ref="D56:D57"/>
    <mergeCell ref="E56:E57"/>
    <mergeCell ref="F56:F57"/>
    <mergeCell ref="A58:A59"/>
    <mergeCell ref="B58:B59"/>
    <mergeCell ref="C58:D59"/>
    <mergeCell ref="A51:A52"/>
    <mergeCell ref="B51:B52"/>
    <mergeCell ref="C51:C52"/>
    <mergeCell ref="D51:D52"/>
    <mergeCell ref="E51:E52"/>
    <mergeCell ref="A92:F92"/>
    <mergeCell ref="B94:B98"/>
    <mergeCell ref="A95:A96"/>
    <mergeCell ref="C95:C96"/>
    <mergeCell ref="A97:A98"/>
    <mergeCell ref="C85:F86"/>
    <mergeCell ref="E83:F84"/>
    <mergeCell ref="A105:A106"/>
    <mergeCell ref="A100:A101"/>
    <mergeCell ref="A88:A89"/>
    <mergeCell ref="A83:A84"/>
    <mergeCell ref="A85:A86"/>
    <mergeCell ref="C87:C91"/>
    <mergeCell ref="D87:D91"/>
    <mergeCell ref="E87:E91"/>
    <mergeCell ref="F87:F91"/>
    <mergeCell ref="B88:B89"/>
    <mergeCell ref="A90:A91"/>
    <mergeCell ref="A102:A103"/>
    <mergeCell ref="D105:D106"/>
    <mergeCell ref="C105:C106"/>
    <mergeCell ref="E102:F103"/>
    <mergeCell ref="C102:C103"/>
    <mergeCell ref="B100:C101"/>
    <mergeCell ref="A115:A116"/>
    <mergeCell ref="A110:A111"/>
    <mergeCell ref="A112:A113"/>
    <mergeCell ref="F114:F118"/>
    <mergeCell ref="A107:A108"/>
    <mergeCell ref="B110:B111"/>
    <mergeCell ref="C110:C111"/>
    <mergeCell ref="A117:A118"/>
    <mergeCell ref="E115:E116"/>
    <mergeCell ref="E112:E113"/>
    <mergeCell ref="E117:E118"/>
    <mergeCell ref="B117:B118"/>
    <mergeCell ref="C117:C118"/>
    <mergeCell ref="D117:D118"/>
    <mergeCell ref="C112:C113"/>
    <mergeCell ref="B112:B113"/>
    <mergeCell ref="C107:C108"/>
    <mergeCell ref="D107:D108"/>
    <mergeCell ref="D112:D113"/>
    <mergeCell ref="D110:D111"/>
    <mergeCell ref="E110:E111"/>
    <mergeCell ref="F110:F111"/>
    <mergeCell ref="C115:C116"/>
    <mergeCell ref="D115:D116"/>
    <mergeCell ref="A119:F119"/>
    <mergeCell ref="B121:B127"/>
    <mergeCell ref="C121:C127"/>
    <mergeCell ref="D121:D127"/>
    <mergeCell ref="E121:E127"/>
    <mergeCell ref="A122:A123"/>
    <mergeCell ref="F122:F123"/>
    <mergeCell ref="A124:A125"/>
    <mergeCell ref="A126:A127"/>
    <mergeCell ref="F129:F130"/>
    <mergeCell ref="A131:A132"/>
    <mergeCell ref="A133:A134"/>
    <mergeCell ref="B136:B137"/>
    <mergeCell ref="D136:D137"/>
    <mergeCell ref="E136:E137"/>
    <mergeCell ref="F136:F137"/>
    <mergeCell ref="A138:A139"/>
    <mergeCell ref="A140:A141"/>
    <mergeCell ref="A136:A137"/>
    <mergeCell ref="A129:A130"/>
    <mergeCell ref="B129:B130"/>
    <mergeCell ref="C129:C130"/>
    <mergeCell ref="D129:D130"/>
    <mergeCell ref="E129:E130"/>
    <mergeCell ref="E143:E144"/>
    <mergeCell ref="F143:F144"/>
    <mergeCell ref="A145:A146"/>
    <mergeCell ref="A147:A148"/>
    <mergeCell ref="B150:B151"/>
    <mergeCell ref="C150:C151"/>
    <mergeCell ref="D150:D151"/>
    <mergeCell ref="E150:E151"/>
    <mergeCell ref="F150:F151"/>
    <mergeCell ref="A150:A151"/>
    <mergeCell ref="A143:A144"/>
    <mergeCell ref="B143:B144"/>
    <mergeCell ref="C143:C144"/>
    <mergeCell ref="D143:D144"/>
    <mergeCell ref="A152:A153"/>
    <mergeCell ref="A154:A155"/>
    <mergeCell ref="A156:F156"/>
    <mergeCell ref="A159:A160"/>
    <mergeCell ref="B159:B160"/>
    <mergeCell ref="C159:C160"/>
    <mergeCell ref="D159:D160"/>
    <mergeCell ref="E159:E160"/>
    <mergeCell ref="F159:F160"/>
    <mergeCell ref="A193:F193"/>
    <mergeCell ref="B195:B201"/>
    <mergeCell ref="C195:C201"/>
    <mergeCell ref="A196:A197"/>
    <mergeCell ref="D196:D197"/>
    <mergeCell ref="E196:E197"/>
    <mergeCell ref="F196:F197"/>
    <mergeCell ref="A198:A199"/>
    <mergeCell ref="A200:A201"/>
    <mergeCell ref="A203:A204"/>
    <mergeCell ref="B203:B204"/>
    <mergeCell ref="C203:C204"/>
    <mergeCell ref="D203:D204"/>
    <mergeCell ref="E203:E204"/>
    <mergeCell ref="F203:F204"/>
    <mergeCell ref="A205:A206"/>
    <mergeCell ref="A207:A208"/>
    <mergeCell ref="B210:B215"/>
    <mergeCell ref="D210:D211"/>
    <mergeCell ref="E210:E211"/>
    <mergeCell ref="F210:F211"/>
    <mergeCell ref="A212:A213"/>
    <mergeCell ref="A214:A215"/>
    <mergeCell ref="A210:A211"/>
    <mergeCell ref="E217:E218"/>
    <mergeCell ref="F217:F218"/>
    <mergeCell ref="A219:A220"/>
    <mergeCell ref="A221:A222"/>
    <mergeCell ref="F223:F229"/>
    <mergeCell ref="B224:B225"/>
    <mergeCell ref="C224:C225"/>
    <mergeCell ref="D224:D225"/>
    <mergeCell ref="E224:E225"/>
    <mergeCell ref="A226:A227"/>
    <mergeCell ref="A228:A229"/>
    <mergeCell ref="A217:A218"/>
    <mergeCell ref="A224:A225"/>
    <mergeCell ref="B217:B218"/>
    <mergeCell ref="C217:C218"/>
    <mergeCell ref="D217:D21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02892-0FEB-497A-BF24-33EEA2FEDA48}">
  <sheetPr codeName="Sheet8">
    <tabColor theme="0" tint="-0.34998626667073579"/>
  </sheetPr>
  <dimension ref="A1:AW83"/>
  <sheetViews>
    <sheetView showZeros="0" tabSelected="1" zoomScale="55" zoomScaleNormal="55" zoomScaleSheetLayoutView="41" workbookViewId="0">
      <pane ySplit="7" topLeftCell="W8" activePane="bottomLeft" state="frozen"/>
      <selection pane="bottomLeft" activeCell="AJ16" sqref="AJ16"/>
    </sheetView>
  </sheetViews>
  <sheetFormatPr defaultColWidth="11.875" defaultRowHeight="18"/>
  <cols>
    <col min="1" max="1" width="7.375" style="11" customWidth="1"/>
    <col min="2" max="2" width="13" style="11" customWidth="1"/>
    <col min="3" max="3" width="11.875" style="11"/>
    <col min="4" max="4" width="39.625" style="11" customWidth="1"/>
    <col min="5" max="5" width="16" style="11" bestFit="1" customWidth="1"/>
    <col min="6" max="7" width="7.5" style="11" customWidth="1"/>
    <col min="8" max="8" width="11.875" style="11"/>
    <col min="9" max="9" width="13" style="11" customWidth="1"/>
    <col min="10" max="10" width="11.875" style="11"/>
    <col min="11" max="11" width="39.625" style="11" customWidth="1"/>
    <col min="12" max="12" width="16" style="11" bestFit="1" customWidth="1"/>
    <col min="13" max="14" width="7.5" style="11" customWidth="1"/>
    <col min="15" max="15" width="11.875" style="11" customWidth="1"/>
    <col min="16" max="16" width="13" style="11" customWidth="1"/>
    <col min="17" max="17" width="11.875" style="11"/>
    <col min="18" max="18" width="39.625" style="11" customWidth="1"/>
    <col min="19" max="19" width="16" style="11" bestFit="1" customWidth="1"/>
    <col min="20" max="21" width="7.5" style="11" customWidth="1"/>
    <col min="22" max="22" width="11.875" style="11"/>
    <col min="23" max="23" width="13" style="11" customWidth="1"/>
    <col min="24" max="24" width="11.875" style="11"/>
    <col min="25" max="25" width="39.625" style="11" customWidth="1"/>
    <col min="26" max="26" width="16" style="11" bestFit="1" customWidth="1"/>
    <col min="27" max="28" width="7.5" style="11" customWidth="1"/>
    <col min="29" max="29" width="11.875" style="11"/>
    <col min="30" max="30" width="13" style="11" customWidth="1"/>
    <col min="31" max="31" width="11.875" style="11"/>
    <col min="32" max="32" width="39.625" style="11" customWidth="1"/>
    <col min="33" max="33" width="16" style="11" bestFit="1" customWidth="1"/>
    <col min="34" max="35" width="7.5" style="11" customWidth="1"/>
    <col min="36" max="36" width="11.875" style="11"/>
    <col min="37" max="37" width="8.625" style="11" customWidth="1"/>
    <col min="38" max="38" width="7.125" style="11" hidden="1" customWidth="1"/>
    <col min="39" max="39" width="12.375" style="11" hidden="1" customWidth="1"/>
    <col min="40" max="40" width="0" style="11" hidden="1" customWidth="1"/>
    <col min="41" max="41" width="4.625" style="11" hidden="1" customWidth="1"/>
    <col min="42" max="42" width="6" style="11" hidden="1" customWidth="1"/>
    <col min="43" max="48" width="5.5" style="11" hidden="1" customWidth="1"/>
    <col min="49" max="49" width="5.5" style="11" customWidth="1"/>
    <col min="50" max="16384" width="11.875" style="11"/>
  </cols>
  <sheetData>
    <row r="1" spans="1:49" ht="45" customHeight="1" thickBot="1">
      <c r="A1" s="8"/>
      <c r="B1" s="154">
        <v>45139</v>
      </c>
      <c r="C1" s="155"/>
      <c r="D1" s="155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10"/>
      <c r="AK1" s="8"/>
      <c r="AL1" s="64"/>
      <c r="AM1" s="156" t="s">
        <v>66</v>
      </c>
      <c r="AN1" s="156"/>
      <c r="AO1" s="156"/>
      <c r="AP1" s="12"/>
    </row>
    <row r="2" spans="1:49" ht="26.1" customHeight="1" thickBot="1">
      <c r="A2" s="8"/>
      <c r="B2" s="157" t="s">
        <v>67</v>
      </c>
      <c r="C2" s="156"/>
      <c r="D2" s="156"/>
      <c r="E2" s="156"/>
      <c r="F2" s="156"/>
      <c r="G2" s="156"/>
      <c r="H2" s="158"/>
      <c r="I2" s="157" t="s">
        <v>68</v>
      </c>
      <c r="J2" s="156"/>
      <c r="K2" s="156"/>
      <c r="L2" s="156"/>
      <c r="M2" s="156"/>
      <c r="N2" s="156"/>
      <c r="O2" s="158"/>
      <c r="P2" s="157" t="s">
        <v>69</v>
      </c>
      <c r="Q2" s="156"/>
      <c r="R2" s="156"/>
      <c r="S2" s="156"/>
      <c r="T2" s="156"/>
      <c r="U2" s="156"/>
      <c r="V2" s="158"/>
      <c r="W2" s="157" t="s">
        <v>70</v>
      </c>
      <c r="X2" s="156"/>
      <c r="Y2" s="156"/>
      <c r="Z2" s="156"/>
      <c r="AA2" s="156"/>
      <c r="AB2" s="156"/>
      <c r="AC2" s="158"/>
      <c r="AD2" s="157" t="s">
        <v>71</v>
      </c>
      <c r="AE2" s="156"/>
      <c r="AF2" s="156"/>
      <c r="AG2" s="156"/>
      <c r="AH2" s="156"/>
      <c r="AI2" s="156"/>
      <c r="AJ2" s="158"/>
      <c r="AK2" s="8"/>
      <c r="AL2" s="8"/>
      <c r="AM2" s="148" t="s">
        <v>72</v>
      </c>
      <c r="AN2" s="150">
        <v>2023</v>
      </c>
      <c r="AO2" s="13"/>
      <c r="AQ2" s="7"/>
      <c r="AR2" s="7"/>
      <c r="AS2" s="7"/>
      <c r="AT2" s="7"/>
      <c r="AU2" s="7"/>
      <c r="AV2" s="7"/>
      <c r="AW2" s="7"/>
    </row>
    <row r="3" spans="1:49" ht="18.75" thickBot="1">
      <c r="A3" s="8"/>
      <c r="B3" s="14" t="s">
        <v>73</v>
      </c>
      <c r="C3" s="15" t="s">
        <v>74</v>
      </c>
      <c r="D3" s="15" t="s">
        <v>75</v>
      </c>
      <c r="E3" s="15" t="s">
        <v>76</v>
      </c>
      <c r="F3" s="15" t="s">
        <v>77</v>
      </c>
      <c r="G3" s="15" t="s">
        <v>78</v>
      </c>
      <c r="H3" s="16" t="s">
        <v>79</v>
      </c>
      <c r="I3" s="14" t="s">
        <v>73</v>
      </c>
      <c r="J3" s="15" t="s">
        <v>74</v>
      </c>
      <c r="K3" s="15" t="s">
        <v>75</v>
      </c>
      <c r="L3" s="15" t="s">
        <v>76</v>
      </c>
      <c r="M3" s="15" t="s">
        <v>77</v>
      </c>
      <c r="N3" s="15" t="s">
        <v>78</v>
      </c>
      <c r="O3" s="16" t="s">
        <v>79</v>
      </c>
      <c r="P3" s="14" t="s">
        <v>73</v>
      </c>
      <c r="Q3" s="15" t="s">
        <v>74</v>
      </c>
      <c r="R3" s="15" t="s">
        <v>75</v>
      </c>
      <c r="S3" s="15" t="s">
        <v>76</v>
      </c>
      <c r="T3" s="15" t="s">
        <v>77</v>
      </c>
      <c r="U3" s="15" t="s">
        <v>78</v>
      </c>
      <c r="V3" s="16" t="s">
        <v>79</v>
      </c>
      <c r="W3" s="14" t="s">
        <v>73</v>
      </c>
      <c r="X3" s="15" t="s">
        <v>74</v>
      </c>
      <c r="Y3" s="15" t="s">
        <v>75</v>
      </c>
      <c r="Z3" s="15" t="s">
        <v>76</v>
      </c>
      <c r="AA3" s="15" t="s">
        <v>77</v>
      </c>
      <c r="AB3" s="15" t="s">
        <v>78</v>
      </c>
      <c r="AC3" s="16" t="s">
        <v>79</v>
      </c>
      <c r="AD3" s="14" t="s">
        <v>73</v>
      </c>
      <c r="AE3" s="15" t="s">
        <v>74</v>
      </c>
      <c r="AF3" s="15" t="s">
        <v>75</v>
      </c>
      <c r="AG3" s="15" t="s">
        <v>76</v>
      </c>
      <c r="AH3" s="15" t="s">
        <v>77</v>
      </c>
      <c r="AI3" s="15" t="s">
        <v>78</v>
      </c>
      <c r="AJ3" s="16" t="s">
        <v>79</v>
      </c>
      <c r="AK3" s="8"/>
      <c r="AL3" s="8"/>
      <c r="AM3" s="149"/>
      <c r="AN3" s="151"/>
      <c r="AO3" s="17"/>
      <c r="AQ3" s="7"/>
      <c r="AR3" s="7"/>
      <c r="AS3" s="7"/>
      <c r="AT3" s="7"/>
      <c r="AU3" s="7"/>
      <c r="AV3" s="7"/>
      <c r="AW3" s="7"/>
    </row>
    <row r="4" spans="1:49" ht="18.75" thickBot="1">
      <c r="A4" s="8"/>
      <c r="B4" s="18"/>
      <c r="C4" s="19"/>
      <c r="D4" s="19"/>
      <c r="E4" s="19"/>
      <c r="F4" s="19"/>
      <c r="G4" s="19"/>
      <c r="H4" s="20"/>
      <c r="I4" s="18"/>
      <c r="J4" s="19"/>
      <c r="K4" s="19"/>
      <c r="L4" s="19"/>
      <c r="M4" s="19"/>
      <c r="N4" s="19"/>
      <c r="O4" s="20"/>
      <c r="P4" s="18"/>
      <c r="Q4" s="19"/>
      <c r="R4" s="19"/>
      <c r="S4" s="19"/>
      <c r="T4" s="19"/>
      <c r="U4" s="19"/>
      <c r="V4" s="20"/>
      <c r="W4" s="18"/>
      <c r="X4" s="19"/>
      <c r="Y4" s="19"/>
      <c r="Z4" s="19"/>
      <c r="AA4" s="19"/>
      <c r="AB4" s="19"/>
      <c r="AC4" s="20"/>
      <c r="AD4" s="18"/>
      <c r="AE4" s="19"/>
      <c r="AF4" s="19"/>
      <c r="AG4" s="19"/>
      <c r="AH4" s="19"/>
      <c r="AI4" s="19"/>
      <c r="AJ4" s="20"/>
      <c r="AK4" s="8"/>
      <c r="AL4" s="8"/>
      <c r="AM4" s="21"/>
      <c r="AN4" s="21"/>
      <c r="AQ4" s="7"/>
      <c r="AR4" s="7"/>
      <c r="AS4" s="7"/>
      <c r="AT4" s="7"/>
      <c r="AU4" s="7"/>
      <c r="AV4" s="7"/>
      <c r="AW4" s="7"/>
    </row>
    <row r="5" spans="1:49" ht="19.5">
      <c r="A5" s="8"/>
      <c r="B5" s="22"/>
      <c r="C5" s="4" t="s">
        <v>80</v>
      </c>
      <c r="D5" s="4"/>
      <c r="E5" s="3"/>
      <c r="F5" s="23"/>
      <c r="G5" s="3"/>
      <c r="H5" s="24"/>
      <c r="I5" s="22"/>
      <c r="J5" s="5" t="s">
        <v>81</v>
      </c>
      <c r="K5" s="6"/>
      <c r="L5" s="25"/>
      <c r="M5" s="25"/>
      <c r="N5" s="25"/>
      <c r="O5" s="24"/>
      <c r="P5" s="22"/>
      <c r="Q5" s="5" t="s">
        <v>82</v>
      </c>
      <c r="R5" s="6"/>
      <c r="S5" s="25"/>
      <c r="T5" s="25"/>
      <c r="U5" s="25"/>
      <c r="V5" s="24"/>
      <c r="W5" s="22"/>
      <c r="X5" s="25"/>
      <c r="Y5" s="25"/>
      <c r="Z5" s="25"/>
      <c r="AA5" s="25"/>
      <c r="AB5" s="25"/>
      <c r="AC5" s="24"/>
      <c r="AD5" s="22"/>
      <c r="AE5" s="5" t="s">
        <v>83</v>
      </c>
      <c r="AF5" s="6"/>
      <c r="AG5" s="25"/>
      <c r="AH5" s="25"/>
      <c r="AI5" s="25"/>
      <c r="AJ5" s="24"/>
      <c r="AK5" s="8"/>
      <c r="AL5" s="8"/>
      <c r="AM5" s="148" t="s">
        <v>84</v>
      </c>
      <c r="AN5" s="150">
        <v>8</v>
      </c>
      <c r="AO5" s="13"/>
      <c r="AQ5" s="7"/>
      <c r="AR5" s="7"/>
      <c r="AS5" s="7"/>
      <c r="AT5" s="7"/>
      <c r="AU5" s="7"/>
      <c r="AV5" s="7"/>
      <c r="AW5" s="7"/>
    </row>
    <row r="6" spans="1:49" ht="18.75" thickBot="1">
      <c r="A6" s="8"/>
      <c r="B6" s="22"/>
      <c r="C6" s="4" t="s">
        <v>85</v>
      </c>
      <c r="D6" s="4"/>
      <c r="E6" s="3"/>
      <c r="F6" s="23"/>
      <c r="G6" s="3"/>
      <c r="H6" s="24"/>
      <c r="I6" s="22"/>
      <c r="J6" s="6" t="s">
        <v>86</v>
      </c>
      <c r="K6" s="6"/>
      <c r="L6" s="25"/>
      <c r="M6" s="25"/>
      <c r="N6" s="25"/>
      <c r="O6" s="24"/>
      <c r="P6" s="22"/>
      <c r="Q6" s="6" t="s">
        <v>87</v>
      </c>
      <c r="R6" s="6"/>
      <c r="S6" s="25"/>
      <c r="T6" s="25"/>
      <c r="U6" s="25"/>
      <c r="V6" s="24"/>
      <c r="W6" s="22"/>
      <c r="X6" s="25"/>
      <c r="Y6" s="25"/>
      <c r="Z6" s="25"/>
      <c r="AA6" s="25"/>
      <c r="AB6" s="25"/>
      <c r="AC6" s="24"/>
      <c r="AD6" s="22"/>
      <c r="AE6" s="6" t="s">
        <v>86</v>
      </c>
      <c r="AF6" s="6"/>
      <c r="AG6" s="25"/>
      <c r="AH6" s="25"/>
      <c r="AI6" s="25"/>
      <c r="AJ6" s="24"/>
      <c r="AK6" s="8"/>
      <c r="AL6" s="8"/>
      <c r="AM6" s="149"/>
      <c r="AN6" s="151"/>
      <c r="AO6" s="17"/>
      <c r="AQ6" s="7"/>
      <c r="AR6" s="7"/>
      <c r="AS6" s="7"/>
      <c r="AT6" s="7"/>
      <c r="AU6" s="7"/>
      <c r="AV6" s="7"/>
      <c r="AW6" s="7"/>
    </row>
    <row r="7" spans="1:49" ht="18.75" thickBot="1">
      <c r="A7" s="8"/>
      <c r="B7" s="26"/>
      <c r="C7" s="27"/>
      <c r="D7" s="27"/>
      <c r="E7" s="27"/>
      <c r="F7" s="27"/>
      <c r="G7" s="27"/>
      <c r="H7" s="28"/>
      <c r="I7" s="26"/>
      <c r="J7" s="27"/>
      <c r="K7" s="27"/>
      <c r="L7" s="27"/>
      <c r="M7" s="27"/>
      <c r="N7" s="27"/>
      <c r="O7" s="28"/>
      <c r="P7" s="26"/>
      <c r="Q7" s="27"/>
      <c r="R7" s="27"/>
      <c r="S7" s="27"/>
      <c r="T7" s="27"/>
      <c r="U7" s="27"/>
      <c r="V7" s="28"/>
      <c r="W7" s="26"/>
      <c r="X7" s="27"/>
      <c r="Y7" s="27"/>
      <c r="Z7" s="27"/>
      <c r="AA7" s="27"/>
      <c r="AB7" s="27"/>
      <c r="AC7" s="28"/>
      <c r="AD7" s="26"/>
      <c r="AE7" s="27"/>
      <c r="AF7" s="27"/>
      <c r="AG7" s="27"/>
      <c r="AH7" s="27"/>
      <c r="AI7" s="27"/>
      <c r="AJ7" s="28"/>
      <c r="AK7" s="8"/>
      <c r="AL7" s="8"/>
      <c r="AQ7" s="7"/>
      <c r="AR7" s="7"/>
      <c r="AS7" s="7"/>
      <c r="AT7" s="7"/>
      <c r="AU7" s="7"/>
      <c r="AV7" s="7"/>
      <c r="AW7" s="7"/>
    </row>
    <row r="8" spans="1:49" ht="21" customHeight="1">
      <c r="A8" s="8"/>
      <c r="B8" s="152" t="s">
        <v>88</v>
      </c>
      <c r="C8" s="153"/>
      <c r="D8" s="153"/>
      <c r="E8" s="153"/>
      <c r="F8" s="153"/>
      <c r="G8" s="153"/>
      <c r="H8" s="29">
        <v>45138</v>
      </c>
      <c r="I8" s="152" t="s">
        <v>88</v>
      </c>
      <c r="J8" s="153"/>
      <c r="K8" s="153"/>
      <c r="L8" s="153"/>
      <c r="M8" s="153"/>
      <c r="N8" s="153"/>
      <c r="O8" s="30">
        <v>45139</v>
      </c>
      <c r="P8" s="146" t="s">
        <v>88</v>
      </c>
      <c r="Q8" s="147"/>
      <c r="R8" s="147"/>
      <c r="S8" s="147"/>
      <c r="T8" s="147"/>
      <c r="U8" s="147"/>
      <c r="V8" s="30">
        <v>45140</v>
      </c>
      <c r="W8" s="146" t="s">
        <v>88</v>
      </c>
      <c r="X8" s="147"/>
      <c r="Y8" s="147"/>
      <c r="Z8" s="147"/>
      <c r="AA8" s="147"/>
      <c r="AB8" s="147"/>
      <c r="AC8" s="30">
        <v>45141</v>
      </c>
      <c r="AD8" s="146" t="s">
        <v>88</v>
      </c>
      <c r="AE8" s="147"/>
      <c r="AF8" s="147"/>
      <c r="AG8" s="147"/>
      <c r="AH8" s="147"/>
      <c r="AI8" s="147"/>
      <c r="AJ8" s="30">
        <v>45142</v>
      </c>
      <c r="AK8" s="8"/>
      <c r="AL8" s="8"/>
    </row>
    <row r="9" spans="1:49">
      <c r="A9" s="8"/>
      <c r="B9" s="31"/>
      <c r="C9" s="32"/>
      <c r="D9" s="33"/>
      <c r="E9" s="32" t="s">
        <v>89</v>
      </c>
      <c r="F9" s="34"/>
      <c r="G9" s="34"/>
      <c r="H9" s="35"/>
      <c r="I9" s="36" t="s">
        <v>90</v>
      </c>
      <c r="J9" s="37" t="s">
        <v>91</v>
      </c>
      <c r="K9" s="38" t="s">
        <v>92</v>
      </c>
      <c r="L9" s="37" t="s">
        <v>89</v>
      </c>
      <c r="M9" s="39" t="s">
        <v>93</v>
      </c>
      <c r="N9" s="39">
        <v>2</v>
      </c>
      <c r="O9" s="40">
        <v>45139</v>
      </c>
      <c r="P9" s="36" t="s">
        <v>94</v>
      </c>
      <c r="Q9" s="37" t="s">
        <v>95</v>
      </c>
      <c r="R9" s="38" t="s">
        <v>96</v>
      </c>
      <c r="S9" s="37" t="s">
        <v>89</v>
      </c>
      <c r="T9" s="39" t="s">
        <v>97</v>
      </c>
      <c r="U9" s="39">
        <v>2</v>
      </c>
      <c r="V9" s="40">
        <v>45158</v>
      </c>
      <c r="W9" s="36" t="s">
        <v>94</v>
      </c>
      <c r="X9" s="37" t="s">
        <v>98</v>
      </c>
      <c r="Y9" s="38" t="s">
        <v>99</v>
      </c>
      <c r="Z9" s="37" t="s">
        <v>89</v>
      </c>
      <c r="AA9" s="39" t="s">
        <v>97</v>
      </c>
      <c r="AB9" s="39">
        <v>2</v>
      </c>
      <c r="AC9" s="40">
        <v>45158</v>
      </c>
      <c r="AD9" s="36" t="s">
        <v>100</v>
      </c>
      <c r="AE9" s="37" t="s">
        <v>98</v>
      </c>
      <c r="AF9" s="38" t="s">
        <v>101</v>
      </c>
      <c r="AG9" s="37" t="s">
        <v>89</v>
      </c>
      <c r="AH9" s="39" t="s">
        <v>97</v>
      </c>
      <c r="AI9" s="39">
        <v>4</v>
      </c>
      <c r="AJ9" s="40">
        <v>45148</v>
      </c>
      <c r="AK9" s="65"/>
      <c r="AL9" s="8"/>
      <c r="AM9" s="7"/>
      <c r="AN9" s="7"/>
      <c r="AO9" s="7"/>
      <c r="AP9" s="7"/>
      <c r="AQ9" s="7"/>
    </row>
    <row r="10" spans="1:49">
      <c r="A10" s="8"/>
      <c r="B10" s="36"/>
      <c r="C10" s="37"/>
      <c r="D10" s="38"/>
      <c r="E10" s="37"/>
      <c r="F10" s="39"/>
      <c r="G10" s="39"/>
      <c r="H10" s="40"/>
      <c r="I10" s="36"/>
      <c r="J10" s="37"/>
      <c r="K10" s="38"/>
      <c r="L10" s="37"/>
      <c r="M10" s="39"/>
      <c r="N10" s="39"/>
      <c r="O10" s="40"/>
      <c r="P10" s="36" t="s">
        <v>94</v>
      </c>
      <c r="Q10" s="37" t="s">
        <v>102</v>
      </c>
      <c r="R10" s="38" t="s">
        <v>103</v>
      </c>
      <c r="S10" s="37" t="s">
        <v>89</v>
      </c>
      <c r="T10" s="39" t="s">
        <v>97</v>
      </c>
      <c r="U10" s="39">
        <v>2</v>
      </c>
      <c r="V10" s="40">
        <v>45158</v>
      </c>
      <c r="W10" s="36" t="s">
        <v>94</v>
      </c>
      <c r="X10" s="37" t="s">
        <v>98</v>
      </c>
      <c r="Y10" s="38" t="s">
        <v>104</v>
      </c>
      <c r="Z10" s="37" t="s">
        <v>89</v>
      </c>
      <c r="AA10" s="39" t="s">
        <v>93</v>
      </c>
      <c r="AB10" s="39">
        <v>4</v>
      </c>
      <c r="AC10" s="40" t="s">
        <v>105</v>
      </c>
      <c r="AD10" s="36" t="s">
        <v>106</v>
      </c>
      <c r="AE10" s="37" t="s">
        <v>98</v>
      </c>
      <c r="AF10" s="38" t="s">
        <v>107</v>
      </c>
      <c r="AG10" s="37" t="s">
        <v>89</v>
      </c>
      <c r="AH10" s="39" t="s">
        <v>93</v>
      </c>
      <c r="AI10" s="39">
        <v>4</v>
      </c>
      <c r="AJ10" s="40">
        <v>45148</v>
      </c>
      <c r="AK10" s="65"/>
      <c r="AL10" s="8"/>
      <c r="AM10" s="7"/>
      <c r="AN10" s="7"/>
      <c r="AO10" s="7"/>
      <c r="AP10" s="7"/>
      <c r="AQ10" s="7"/>
    </row>
    <row r="11" spans="1:49">
      <c r="A11" s="8"/>
      <c r="B11" s="36"/>
      <c r="C11" s="37"/>
      <c r="D11" s="38"/>
      <c r="E11" s="37"/>
      <c r="F11" s="39"/>
      <c r="G11" s="39"/>
      <c r="H11" s="40"/>
      <c r="I11" s="36"/>
      <c r="J11" s="37"/>
      <c r="K11" s="38"/>
      <c r="L11" s="37"/>
      <c r="M11" s="39"/>
      <c r="N11" s="39"/>
      <c r="O11" s="40"/>
      <c r="P11" s="36"/>
      <c r="Q11" s="37"/>
      <c r="R11" s="38"/>
      <c r="S11" s="37"/>
      <c r="T11" s="39"/>
      <c r="U11" s="39"/>
      <c r="V11" s="40"/>
      <c r="W11" s="36"/>
      <c r="X11" s="37"/>
      <c r="Y11" s="38"/>
      <c r="Z11" s="37"/>
      <c r="AA11" s="39"/>
      <c r="AB11" s="39"/>
      <c r="AC11" s="40"/>
      <c r="AD11" s="36"/>
      <c r="AE11" s="37"/>
      <c r="AF11" s="38"/>
      <c r="AG11" s="37"/>
      <c r="AH11" s="39"/>
      <c r="AI11" s="39"/>
      <c r="AJ11" s="40"/>
      <c r="AK11" s="65"/>
      <c r="AL11" s="8"/>
      <c r="AM11" s="7"/>
      <c r="AN11" s="7"/>
      <c r="AO11" s="7"/>
      <c r="AP11" s="7"/>
      <c r="AQ11" s="7"/>
    </row>
    <row r="12" spans="1:49">
      <c r="A12" s="8"/>
      <c r="B12" s="36"/>
      <c r="C12" s="37"/>
      <c r="D12" s="38"/>
      <c r="E12" s="37"/>
      <c r="F12" s="39"/>
      <c r="G12" s="39"/>
      <c r="H12" s="40"/>
      <c r="I12" s="36"/>
      <c r="J12" s="37"/>
      <c r="K12" s="38"/>
      <c r="L12" s="37"/>
      <c r="M12" s="39"/>
      <c r="N12" s="39"/>
      <c r="O12" s="40"/>
      <c r="P12" s="36"/>
      <c r="Q12" s="37"/>
      <c r="R12" s="38"/>
      <c r="S12" s="37"/>
      <c r="T12" s="39"/>
      <c r="U12" s="39"/>
      <c r="V12" s="40"/>
      <c r="W12" s="36"/>
      <c r="X12" s="37"/>
      <c r="Y12" s="38"/>
      <c r="Z12" s="37"/>
      <c r="AA12" s="39"/>
      <c r="AB12" s="39"/>
      <c r="AC12" s="40"/>
      <c r="AD12" s="36"/>
      <c r="AE12" s="37"/>
      <c r="AF12" s="38"/>
      <c r="AG12" s="37"/>
      <c r="AH12" s="39"/>
      <c r="AI12" s="39"/>
      <c r="AJ12" s="40"/>
      <c r="AK12" s="65"/>
      <c r="AL12" s="8"/>
      <c r="AM12" s="7"/>
      <c r="AN12" s="7"/>
      <c r="AO12" s="7"/>
      <c r="AP12" s="7"/>
      <c r="AQ12" s="7"/>
    </row>
    <row r="13" spans="1:49">
      <c r="A13" s="8"/>
      <c r="B13" s="36"/>
      <c r="C13" s="37"/>
      <c r="D13" s="38"/>
      <c r="E13" s="37"/>
      <c r="F13" s="39"/>
      <c r="G13" s="39"/>
      <c r="H13" s="40"/>
      <c r="I13" s="36"/>
      <c r="J13" s="37"/>
      <c r="K13" s="38"/>
      <c r="L13" s="37"/>
      <c r="M13" s="39"/>
      <c r="N13" s="39"/>
      <c r="O13" s="40"/>
      <c r="P13" s="36"/>
      <c r="Q13" s="37"/>
      <c r="R13" s="38"/>
      <c r="S13" s="37"/>
      <c r="T13" s="39"/>
      <c r="U13" s="39"/>
      <c r="V13" s="40"/>
      <c r="W13" s="36"/>
      <c r="X13" s="37"/>
      <c r="Y13" s="38"/>
      <c r="Z13" s="37"/>
      <c r="AA13" s="39"/>
      <c r="AB13" s="39"/>
      <c r="AC13" s="40"/>
      <c r="AD13" s="36"/>
      <c r="AE13" s="37"/>
      <c r="AF13" s="38"/>
      <c r="AG13" s="37"/>
      <c r="AH13" s="39"/>
      <c r="AI13" s="39"/>
      <c r="AJ13" s="40"/>
      <c r="AK13" s="65"/>
      <c r="AL13" s="8"/>
      <c r="AM13" s="7"/>
      <c r="AN13" s="7"/>
      <c r="AO13" s="7"/>
      <c r="AP13" s="7"/>
      <c r="AQ13" s="7"/>
    </row>
    <row r="14" spans="1:49">
      <c r="A14" s="8"/>
      <c r="B14" s="36"/>
      <c r="C14" s="37"/>
      <c r="D14" s="38"/>
      <c r="E14" s="37" t="s">
        <v>108</v>
      </c>
      <c r="F14" s="39"/>
      <c r="G14" s="39"/>
      <c r="H14" s="40"/>
      <c r="I14" s="36"/>
      <c r="J14" s="37"/>
      <c r="K14" s="38"/>
      <c r="L14" s="37"/>
      <c r="M14" s="39"/>
      <c r="N14" s="39"/>
      <c r="O14" s="40"/>
      <c r="P14" s="36" t="s">
        <v>109</v>
      </c>
      <c r="Q14" s="37" t="s">
        <v>110</v>
      </c>
      <c r="R14" s="38" t="s">
        <v>111</v>
      </c>
      <c r="S14" s="37" t="s">
        <v>108</v>
      </c>
      <c r="T14" s="39" t="s">
        <v>97</v>
      </c>
      <c r="U14" s="39">
        <v>1.5</v>
      </c>
      <c r="V14" s="40">
        <v>45145</v>
      </c>
      <c r="W14" s="36" t="s">
        <v>90</v>
      </c>
      <c r="X14" s="37" t="s">
        <v>91</v>
      </c>
      <c r="Y14" s="38" t="s">
        <v>112</v>
      </c>
      <c r="Z14" s="37" t="s">
        <v>108</v>
      </c>
      <c r="AA14" s="39" t="s">
        <v>93</v>
      </c>
      <c r="AB14" s="39">
        <v>0.5</v>
      </c>
      <c r="AC14" s="40"/>
      <c r="AD14" s="36" t="s">
        <v>94</v>
      </c>
      <c r="AE14" s="37" t="s">
        <v>98</v>
      </c>
      <c r="AF14" s="38" t="s">
        <v>113</v>
      </c>
      <c r="AG14" s="37" t="s">
        <v>108</v>
      </c>
      <c r="AH14" s="39" t="s">
        <v>97</v>
      </c>
      <c r="AI14" s="39">
        <v>2</v>
      </c>
      <c r="AJ14" s="40" t="s">
        <v>105</v>
      </c>
      <c r="AK14" s="65"/>
      <c r="AL14" s="8"/>
      <c r="AM14" s="7"/>
      <c r="AN14" s="7"/>
      <c r="AO14" s="7"/>
      <c r="AP14" s="7"/>
      <c r="AQ14" s="7"/>
    </row>
    <row r="15" spans="1:49">
      <c r="A15" s="8"/>
      <c r="B15" s="36"/>
      <c r="C15" s="37"/>
      <c r="D15" s="38"/>
      <c r="E15" s="37"/>
      <c r="F15" s="39"/>
      <c r="G15" s="39"/>
      <c r="H15" s="40"/>
      <c r="I15" s="36"/>
      <c r="J15" s="37"/>
      <c r="K15" s="38"/>
      <c r="L15" s="37"/>
      <c r="M15" s="39"/>
      <c r="N15" s="39"/>
      <c r="O15" s="40"/>
      <c r="P15" s="36"/>
      <c r="Q15" s="37"/>
      <c r="R15" s="38"/>
      <c r="S15" s="37"/>
      <c r="T15" s="39"/>
      <c r="U15" s="39"/>
      <c r="V15" s="40"/>
      <c r="W15" s="36" t="s">
        <v>90</v>
      </c>
      <c r="X15" s="37" t="s">
        <v>91</v>
      </c>
      <c r="Y15" s="38" t="s">
        <v>114</v>
      </c>
      <c r="Z15" s="37" t="s">
        <v>108</v>
      </c>
      <c r="AA15" s="39" t="s">
        <v>93</v>
      </c>
      <c r="AB15" s="39">
        <v>0.5</v>
      </c>
      <c r="AC15" s="40"/>
      <c r="AD15" s="36" t="s">
        <v>94</v>
      </c>
      <c r="AE15" s="37" t="s">
        <v>95</v>
      </c>
      <c r="AF15" s="38" t="s">
        <v>115</v>
      </c>
      <c r="AG15" s="37" t="s">
        <v>108</v>
      </c>
      <c r="AH15" s="39" t="s">
        <v>93</v>
      </c>
      <c r="AI15" s="39">
        <v>6</v>
      </c>
      <c r="AJ15" s="40">
        <v>45158</v>
      </c>
      <c r="AK15" s="8"/>
      <c r="AL15" s="8"/>
    </row>
    <row r="16" spans="1:49">
      <c r="A16" s="8"/>
      <c r="B16" s="36"/>
      <c r="C16" s="37"/>
      <c r="D16" s="38"/>
      <c r="E16" s="37"/>
      <c r="F16" s="39"/>
      <c r="G16" s="39"/>
      <c r="H16" s="40"/>
      <c r="I16" s="36"/>
      <c r="J16" s="37"/>
      <c r="K16" s="38"/>
      <c r="L16" s="37"/>
      <c r="M16" s="39"/>
      <c r="N16" s="39"/>
      <c r="O16" s="40"/>
      <c r="P16" s="36"/>
      <c r="Q16" s="37"/>
      <c r="R16" s="38"/>
      <c r="S16" s="37"/>
      <c r="T16" s="39"/>
      <c r="U16" s="39"/>
      <c r="V16" s="40"/>
      <c r="W16" s="36" t="s">
        <v>116</v>
      </c>
      <c r="X16" s="37" t="s">
        <v>110</v>
      </c>
      <c r="Y16" s="38" t="s">
        <v>117</v>
      </c>
      <c r="Z16" s="37" t="s">
        <v>108</v>
      </c>
      <c r="AA16" s="39" t="s">
        <v>93</v>
      </c>
      <c r="AB16" s="39">
        <v>1</v>
      </c>
      <c r="AC16" s="40">
        <v>45150</v>
      </c>
      <c r="AJ16" s="40"/>
      <c r="AK16" s="8"/>
      <c r="AL16" s="8"/>
    </row>
    <row r="17" spans="1:38">
      <c r="A17" s="8"/>
      <c r="B17" s="36"/>
      <c r="C17" s="37"/>
      <c r="D17" s="38"/>
      <c r="E17" s="37"/>
      <c r="F17" s="39"/>
      <c r="G17" s="39"/>
      <c r="H17" s="40"/>
      <c r="I17" s="36"/>
      <c r="J17" s="37"/>
      <c r="K17" s="38"/>
      <c r="L17" s="37"/>
      <c r="M17" s="39"/>
      <c r="N17" s="39"/>
      <c r="O17" s="40"/>
      <c r="P17" s="36"/>
      <c r="Q17" s="37"/>
      <c r="R17" s="38"/>
      <c r="S17" s="37"/>
      <c r="T17" s="39"/>
      <c r="U17" s="39"/>
      <c r="V17" s="40"/>
      <c r="W17" s="36" t="s">
        <v>94</v>
      </c>
      <c r="X17" s="37" t="s">
        <v>102</v>
      </c>
      <c r="Y17" s="38" t="s">
        <v>103</v>
      </c>
      <c r="Z17" s="37" t="s">
        <v>108</v>
      </c>
      <c r="AA17" s="39" t="s">
        <v>97</v>
      </c>
      <c r="AB17" s="39">
        <v>2</v>
      </c>
      <c r="AC17" s="40">
        <v>45158</v>
      </c>
      <c r="AD17" s="36"/>
      <c r="AE17" s="37"/>
      <c r="AF17" s="38"/>
      <c r="AG17" s="37"/>
      <c r="AH17" s="39"/>
      <c r="AI17" s="39"/>
      <c r="AJ17" s="40"/>
      <c r="AK17" s="8"/>
      <c r="AL17" s="8"/>
    </row>
    <row r="18" spans="1:38">
      <c r="A18" s="8"/>
      <c r="B18" s="36"/>
      <c r="C18" s="37"/>
      <c r="D18" s="38"/>
      <c r="E18" s="37"/>
      <c r="F18" s="39"/>
      <c r="G18" s="39"/>
      <c r="H18" s="40"/>
      <c r="I18" s="36"/>
      <c r="J18" s="37"/>
      <c r="K18" s="38"/>
      <c r="L18" s="37"/>
      <c r="M18" s="39"/>
      <c r="N18" s="39"/>
      <c r="O18" s="40"/>
      <c r="P18" s="36"/>
      <c r="Q18" s="37"/>
      <c r="R18" s="38"/>
      <c r="S18" s="37"/>
      <c r="T18" s="39"/>
      <c r="U18" s="39"/>
      <c r="V18" s="40"/>
      <c r="W18" s="36"/>
      <c r="X18" s="37"/>
      <c r="Y18" s="38"/>
      <c r="Z18" s="37"/>
      <c r="AA18" s="39"/>
      <c r="AB18" s="39"/>
      <c r="AC18" s="40"/>
      <c r="AD18" s="36"/>
      <c r="AE18" s="37"/>
      <c r="AF18" s="38"/>
      <c r="AG18" s="37"/>
      <c r="AH18" s="39"/>
      <c r="AI18" s="39"/>
      <c r="AJ18" s="40"/>
      <c r="AK18" s="8"/>
      <c r="AL18" s="8"/>
    </row>
    <row r="19" spans="1:38" ht="18.75" thickBot="1">
      <c r="A19" s="8"/>
      <c r="B19" s="41"/>
      <c r="C19" s="42"/>
      <c r="D19" s="43"/>
      <c r="E19" s="42"/>
      <c r="F19" s="44"/>
      <c r="G19" s="44"/>
      <c r="H19" s="45"/>
      <c r="I19" s="41"/>
      <c r="J19" s="42"/>
      <c r="K19" s="43"/>
      <c r="L19" s="42"/>
      <c r="M19" s="44"/>
      <c r="N19" s="44"/>
      <c r="O19" s="45"/>
      <c r="P19" s="41"/>
      <c r="Q19" s="42"/>
      <c r="R19" s="43"/>
      <c r="S19" s="42"/>
      <c r="T19" s="44"/>
      <c r="U19" s="44"/>
      <c r="V19" s="45"/>
      <c r="W19" s="41"/>
      <c r="X19" s="42"/>
      <c r="Y19" s="43"/>
      <c r="Z19" s="42"/>
      <c r="AA19" s="44"/>
      <c r="AB19" s="44"/>
      <c r="AC19" s="45"/>
      <c r="AD19" s="41"/>
      <c r="AE19" s="42"/>
      <c r="AF19" s="43"/>
      <c r="AG19" s="42"/>
      <c r="AH19" s="44"/>
      <c r="AI19" s="44"/>
      <c r="AJ19" s="45"/>
      <c r="AK19" s="8"/>
      <c r="AL19" s="8"/>
    </row>
    <row r="20" spans="1:38" ht="18.75" customHeight="1">
      <c r="A20" s="8"/>
      <c r="B20" s="146" t="s">
        <v>88</v>
      </c>
      <c r="C20" s="147"/>
      <c r="D20" s="147"/>
      <c r="E20" s="147"/>
      <c r="F20" s="147"/>
      <c r="G20" s="147"/>
      <c r="H20" s="30">
        <v>45145</v>
      </c>
      <c r="I20" s="146" t="s">
        <v>88</v>
      </c>
      <c r="J20" s="147"/>
      <c r="K20" s="147"/>
      <c r="L20" s="147"/>
      <c r="M20" s="147"/>
      <c r="N20" s="147"/>
      <c r="O20" s="30">
        <v>45146</v>
      </c>
      <c r="P20" s="146" t="s">
        <v>118</v>
      </c>
      <c r="Q20" s="147"/>
      <c r="R20" s="147"/>
      <c r="S20" s="147"/>
      <c r="T20" s="147"/>
      <c r="U20" s="147"/>
      <c r="V20" s="30">
        <v>45147</v>
      </c>
      <c r="W20" s="146" t="s">
        <v>88</v>
      </c>
      <c r="X20" s="147"/>
      <c r="Y20" s="147"/>
      <c r="Z20" s="147"/>
      <c r="AA20" s="147"/>
      <c r="AB20" s="147"/>
      <c r="AC20" s="30">
        <v>45148</v>
      </c>
      <c r="AD20" s="146" t="s">
        <v>88</v>
      </c>
      <c r="AE20" s="147"/>
      <c r="AF20" s="147"/>
      <c r="AG20" s="147"/>
      <c r="AH20" s="147"/>
      <c r="AI20" s="147"/>
      <c r="AJ20" s="30">
        <v>45149</v>
      </c>
      <c r="AK20" s="8"/>
      <c r="AL20" s="8"/>
    </row>
    <row r="21" spans="1:38" ht="29.25">
      <c r="A21" s="8"/>
      <c r="B21" s="36"/>
      <c r="C21" s="37"/>
      <c r="D21" s="38"/>
      <c r="E21" s="37" t="s">
        <v>89</v>
      </c>
      <c r="F21" s="39"/>
      <c r="G21" s="39"/>
      <c r="H21" s="40"/>
      <c r="I21" s="36" t="s">
        <v>119</v>
      </c>
      <c r="J21" s="37" t="s">
        <v>95</v>
      </c>
      <c r="K21" s="38" t="s">
        <v>120</v>
      </c>
      <c r="L21" s="37" t="s">
        <v>89</v>
      </c>
      <c r="M21" s="39" t="s">
        <v>97</v>
      </c>
      <c r="N21" s="39">
        <v>4</v>
      </c>
      <c r="O21" s="40">
        <v>45148</v>
      </c>
      <c r="P21" s="36"/>
      <c r="Q21" s="37"/>
      <c r="R21" s="38"/>
      <c r="S21" s="37" t="s">
        <v>89</v>
      </c>
      <c r="T21" s="39"/>
      <c r="U21" s="39"/>
      <c r="V21" s="40"/>
      <c r="W21" s="36" t="s">
        <v>100</v>
      </c>
      <c r="X21" s="37" t="s">
        <v>95</v>
      </c>
      <c r="Y21" s="38" t="s">
        <v>121</v>
      </c>
      <c r="Z21" s="37" t="s">
        <v>89</v>
      </c>
      <c r="AA21" s="39" t="s">
        <v>93</v>
      </c>
      <c r="AB21" s="39">
        <v>2</v>
      </c>
      <c r="AC21" s="40"/>
      <c r="AD21" s="36" t="s">
        <v>94</v>
      </c>
      <c r="AE21" s="37" t="s">
        <v>98</v>
      </c>
      <c r="AF21" s="38" t="s">
        <v>122</v>
      </c>
      <c r="AG21" s="37" t="s">
        <v>89</v>
      </c>
      <c r="AH21" s="39" t="s">
        <v>97</v>
      </c>
      <c r="AI21" s="39">
        <v>4</v>
      </c>
      <c r="AJ21" s="40">
        <v>45155</v>
      </c>
      <c r="AK21" s="8"/>
      <c r="AL21" s="8"/>
    </row>
    <row r="22" spans="1:38" ht="29.25">
      <c r="A22" s="8"/>
      <c r="B22" s="36" t="s">
        <v>116</v>
      </c>
      <c r="C22" s="37" t="s">
        <v>110</v>
      </c>
      <c r="D22" s="38" t="s">
        <v>123</v>
      </c>
      <c r="E22" s="37" t="s">
        <v>89</v>
      </c>
      <c r="F22" s="39" t="s">
        <v>93</v>
      </c>
      <c r="G22" s="39">
        <v>4</v>
      </c>
      <c r="H22" s="40">
        <v>45167</v>
      </c>
      <c r="I22" s="36"/>
      <c r="J22" s="37"/>
      <c r="K22" s="38"/>
      <c r="L22" s="37"/>
      <c r="M22" s="39"/>
      <c r="N22" s="39"/>
      <c r="O22" s="40"/>
      <c r="P22" s="36"/>
      <c r="Q22" s="37"/>
      <c r="R22" s="38"/>
      <c r="S22" s="37"/>
      <c r="T22" s="39"/>
      <c r="U22" s="39"/>
      <c r="V22" s="40"/>
      <c r="W22" s="36"/>
      <c r="X22" s="37"/>
      <c r="Y22" s="38"/>
      <c r="Z22" s="37"/>
      <c r="AA22" s="39"/>
      <c r="AB22" s="39"/>
      <c r="AC22" s="40"/>
      <c r="AD22" s="36" t="s">
        <v>119</v>
      </c>
      <c r="AE22" s="37" t="s">
        <v>95</v>
      </c>
      <c r="AF22" s="38" t="s">
        <v>124</v>
      </c>
      <c r="AG22" s="37" t="s">
        <v>89</v>
      </c>
      <c r="AH22" s="39" t="s">
        <v>93</v>
      </c>
      <c r="AI22" s="39">
        <v>4</v>
      </c>
      <c r="AJ22" s="40">
        <v>45153</v>
      </c>
      <c r="AK22" s="8"/>
      <c r="AL22" s="8"/>
    </row>
    <row r="23" spans="1:38">
      <c r="A23" s="8"/>
      <c r="B23" s="36"/>
      <c r="C23" s="37"/>
      <c r="D23" s="38"/>
      <c r="E23" s="37"/>
      <c r="F23" s="39"/>
      <c r="G23" s="39"/>
      <c r="H23" s="40"/>
      <c r="I23" s="36"/>
      <c r="J23" s="37"/>
      <c r="K23" s="38"/>
      <c r="L23" s="37"/>
      <c r="M23" s="39"/>
      <c r="N23" s="39"/>
      <c r="O23" s="40"/>
      <c r="P23" s="36"/>
      <c r="Q23" s="37"/>
      <c r="R23" s="38"/>
      <c r="S23" s="37"/>
      <c r="T23" s="39"/>
      <c r="U23" s="39"/>
      <c r="V23" s="40"/>
      <c r="W23" s="36"/>
      <c r="X23" s="37"/>
      <c r="Y23" s="38"/>
      <c r="Z23" s="37"/>
      <c r="AA23" s="39"/>
      <c r="AB23" s="39"/>
      <c r="AC23" s="40"/>
      <c r="AD23" s="36"/>
      <c r="AE23" s="37"/>
      <c r="AF23" s="38"/>
      <c r="AG23" s="37"/>
      <c r="AH23" s="39"/>
      <c r="AI23" s="39"/>
      <c r="AJ23" s="40"/>
      <c r="AK23" s="8"/>
      <c r="AL23" s="8"/>
    </row>
    <row r="24" spans="1:38">
      <c r="A24" s="8"/>
      <c r="B24" s="36"/>
      <c r="C24" s="37"/>
      <c r="D24" s="38"/>
      <c r="E24" s="37"/>
      <c r="F24" s="39"/>
      <c r="G24" s="39"/>
      <c r="H24" s="40"/>
      <c r="I24" s="36"/>
      <c r="J24" s="37"/>
      <c r="K24" s="38"/>
      <c r="L24" s="37"/>
      <c r="M24" s="39"/>
      <c r="N24" s="39"/>
      <c r="O24" s="40"/>
      <c r="P24" s="36"/>
      <c r="Q24" s="37"/>
      <c r="R24" s="38"/>
      <c r="S24" s="37"/>
      <c r="T24" s="39"/>
      <c r="U24" s="39"/>
      <c r="V24" s="40"/>
      <c r="W24" s="36"/>
      <c r="X24" s="37"/>
      <c r="Y24" s="38"/>
      <c r="Z24" s="37"/>
      <c r="AA24" s="39"/>
      <c r="AB24" s="39"/>
      <c r="AC24" s="40"/>
      <c r="AD24" s="36"/>
      <c r="AE24" s="37"/>
      <c r="AF24" s="38"/>
      <c r="AG24" s="37"/>
      <c r="AH24" s="39"/>
      <c r="AI24" s="39"/>
      <c r="AJ24" s="40"/>
      <c r="AK24" s="8"/>
      <c r="AL24" s="8"/>
    </row>
    <row r="25" spans="1:38">
      <c r="A25" s="8"/>
      <c r="B25" s="36"/>
      <c r="C25" s="37"/>
      <c r="D25" s="38"/>
      <c r="E25" s="37"/>
      <c r="F25" s="39"/>
      <c r="G25" s="39"/>
      <c r="H25" s="40"/>
      <c r="I25" s="36"/>
      <c r="J25" s="37"/>
      <c r="K25" s="38"/>
      <c r="L25" s="37"/>
      <c r="M25" s="39"/>
      <c r="N25" s="39"/>
      <c r="O25" s="40"/>
      <c r="P25" s="36"/>
      <c r="Q25" s="37"/>
      <c r="R25" s="38"/>
      <c r="S25" s="37"/>
      <c r="T25" s="39"/>
      <c r="U25" s="39"/>
      <c r="V25" s="40"/>
      <c r="W25" s="36"/>
      <c r="X25" s="37"/>
      <c r="Y25" s="38"/>
      <c r="Z25" s="37"/>
      <c r="AA25" s="39"/>
      <c r="AB25" s="39"/>
      <c r="AC25" s="40"/>
      <c r="AD25" s="36"/>
      <c r="AE25" s="37"/>
      <c r="AF25" s="38"/>
      <c r="AG25" s="37"/>
      <c r="AH25" s="39"/>
      <c r="AI25" s="39"/>
      <c r="AJ25" s="40"/>
      <c r="AK25" s="8"/>
      <c r="AL25" s="8"/>
    </row>
    <row r="26" spans="1:38">
      <c r="A26" s="8"/>
      <c r="B26" s="36" t="s">
        <v>94</v>
      </c>
      <c r="C26" s="37" t="s">
        <v>98</v>
      </c>
      <c r="D26" s="38" t="s">
        <v>99</v>
      </c>
      <c r="E26" s="37" t="s">
        <v>108</v>
      </c>
      <c r="F26" s="39" t="s">
        <v>93</v>
      </c>
      <c r="G26" s="39">
        <v>2</v>
      </c>
      <c r="H26" s="40">
        <v>45158</v>
      </c>
      <c r="I26" s="36" t="s">
        <v>94</v>
      </c>
      <c r="J26" s="37" t="s">
        <v>95</v>
      </c>
      <c r="K26" s="38" t="s">
        <v>125</v>
      </c>
      <c r="L26" s="37" t="s">
        <v>108</v>
      </c>
      <c r="M26" s="39" t="s">
        <v>97</v>
      </c>
      <c r="N26" s="39">
        <v>4</v>
      </c>
      <c r="O26" s="40">
        <v>45158</v>
      </c>
      <c r="P26" s="36"/>
      <c r="Q26" s="37"/>
      <c r="R26" s="38"/>
      <c r="S26" s="37" t="s">
        <v>108</v>
      </c>
      <c r="T26" s="39"/>
      <c r="U26" s="39"/>
      <c r="V26" s="40"/>
      <c r="W26" s="36" t="s">
        <v>90</v>
      </c>
      <c r="X26" s="37" t="s">
        <v>91</v>
      </c>
      <c r="Y26" s="38" t="s">
        <v>112</v>
      </c>
      <c r="Z26" s="37" t="s">
        <v>108</v>
      </c>
      <c r="AA26" s="39" t="s">
        <v>93</v>
      </c>
      <c r="AB26" s="39">
        <v>0.5</v>
      </c>
      <c r="AC26" s="40"/>
      <c r="AD26" s="36"/>
      <c r="AE26" s="37"/>
      <c r="AF26" s="38"/>
      <c r="AG26" s="37" t="s">
        <v>108</v>
      </c>
      <c r="AH26" s="39"/>
      <c r="AI26" s="39"/>
      <c r="AJ26" s="40"/>
      <c r="AK26" s="8"/>
      <c r="AL26" s="8"/>
    </row>
    <row r="27" spans="1:38" ht="29.25">
      <c r="A27" s="8"/>
      <c r="B27" s="36" t="s">
        <v>100</v>
      </c>
      <c r="C27" s="37" t="s">
        <v>98</v>
      </c>
      <c r="D27" s="38" t="s">
        <v>126</v>
      </c>
      <c r="E27" s="37" t="s">
        <v>108</v>
      </c>
      <c r="F27" s="39" t="s">
        <v>93</v>
      </c>
      <c r="G27" s="39">
        <v>2</v>
      </c>
      <c r="H27" s="40">
        <v>45148</v>
      </c>
      <c r="I27" s="36"/>
      <c r="J27" s="37"/>
      <c r="K27" s="38"/>
      <c r="L27" s="37"/>
      <c r="M27" s="39"/>
      <c r="N27" s="39"/>
      <c r="O27" s="40"/>
      <c r="P27" s="36"/>
      <c r="Q27" s="37"/>
      <c r="R27" s="38"/>
      <c r="S27" s="37"/>
      <c r="T27" s="39"/>
      <c r="U27" s="39"/>
      <c r="V27" s="40"/>
      <c r="W27" s="36" t="s">
        <v>119</v>
      </c>
      <c r="X27" s="37" t="s">
        <v>95</v>
      </c>
      <c r="Y27" s="38" t="s">
        <v>120</v>
      </c>
      <c r="Z27" s="37" t="s">
        <v>108</v>
      </c>
      <c r="AA27" s="39" t="s">
        <v>97</v>
      </c>
      <c r="AB27" s="39">
        <v>1.5</v>
      </c>
      <c r="AC27" s="40">
        <v>45148</v>
      </c>
      <c r="AD27" s="36"/>
      <c r="AE27" s="37"/>
      <c r="AF27" s="38"/>
      <c r="AG27" s="37"/>
      <c r="AH27" s="39"/>
      <c r="AI27" s="39"/>
      <c r="AJ27" s="40"/>
      <c r="AK27" s="8"/>
      <c r="AL27" s="8"/>
    </row>
    <row r="28" spans="1:38">
      <c r="A28" s="8"/>
      <c r="B28" s="36" t="s">
        <v>106</v>
      </c>
      <c r="C28" s="37" t="s">
        <v>98</v>
      </c>
      <c r="D28" s="38" t="s">
        <v>127</v>
      </c>
      <c r="E28" s="37" t="s">
        <v>108</v>
      </c>
      <c r="F28" s="39" t="s">
        <v>93</v>
      </c>
      <c r="G28" s="39">
        <v>2.5</v>
      </c>
      <c r="H28" s="40">
        <v>45148</v>
      </c>
      <c r="I28" s="36"/>
      <c r="J28" s="37"/>
      <c r="K28" s="38"/>
      <c r="L28" s="37"/>
      <c r="M28" s="39"/>
      <c r="N28" s="39"/>
      <c r="O28" s="40"/>
      <c r="P28" s="36"/>
      <c r="Q28" s="37"/>
      <c r="R28" s="38"/>
      <c r="S28" s="37"/>
      <c r="T28" s="39"/>
      <c r="U28" s="39"/>
      <c r="V28" s="40"/>
      <c r="W28" s="36"/>
      <c r="X28" s="37"/>
      <c r="Y28" s="38"/>
      <c r="Z28" s="37"/>
      <c r="AA28" s="39"/>
      <c r="AB28" s="39"/>
      <c r="AC28" s="40"/>
      <c r="AD28" s="36"/>
      <c r="AE28" s="37"/>
      <c r="AF28" s="38"/>
      <c r="AG28" s="37"/>
      <c r="AH28" s="39"/>
      <c r="AI28" s="39"/>
      <c r="AJ28" s="40"/>
      <c r="AK28" s="8"/>
      <c r="AL28" s="8"/>
    </row>
    <row r="29" spans="1:38">
      <c r="A29" s="8"/>
      <c r="B29" s="36"/>
      <c r="C29" s="37"/>
      <c r="D29" s="38"/>
      <c r="E29" s="37"/>
      <c r="F29" s="39"/>
      <c r="G29" s="39"/>
      <c r="H29" s="40"/>
      <c r="I29" s="36"/>
      <c r="J29" s="37"/>
      <c r="K29" s="38"/>
      <c r="L29" s="37"/>
      <c r="M29" s="39"/>
      <c r="N29" s="39"/>
      <c r="O29" s="40"/>
      <c r="P29" s="36"/>
      <c r="Q29" s="37"/>
      <c r="R29" s="38"/>
      <c r="S29" s="37"/>
      <c r="T29" s="39"/>
      <c r="U29" s="39"/>
      <c r="V29" s="40"/>
      <c r="W29" s="36"/>
      <c r="X29" s="37"/>
      <c r="Y29" s="38"/>
      <c r="Z29" s="37"/>
      <c r="AA29" s="39"/>
      <c r="AB29" s="39"/>
      <c r="AC29" s="40"/>
      <c r="AD29" s="36"/>
      <c r="AE29" s="37"/>
      <c r="AF29" s="38"/>
      <c r="AG29" s="37"/>
      <c r="AH29" s="39"/>
      <c r="AI29" s="39"/>
      <c r="AJ29" s="40"/>
      <c r="AK29" s="8"/>
      <c r="AL29" s="8"/>
    </row>
    <row r="30" spans="1:38">
      <c r="A30" s="8"/>
      <c r="B30" s="36"/>
      <c r="C30" s="37"/>
      <c r="D30" s="38"/>
      <c r="E30" s="37"/>
      <c r="F30" s="39"/>
      <c r="G30" s="39"/>
      <c r="H30" s="40"/>
      <c r="I30" s="36"/>
      <c r="J30" s="37"/>
      <c r="K30" s="38"/>
      <c r="L30" s="37"/>
      <c r="M30" s="39"/>
      <c r="N30" s="39"/>
      <c r="O30" s="40"/>
      <c r="P30" s="36"/>
      <c r="Q30" s="37"/>
      <c r="R30" s="38"/>
      <c r="S30" s="37"/>
      <c r="T30" s="39"/>
      <c r="U30" s="39"/>
      <c r="V30" s="40"/>
      <c r="W30" s="36"/>
      <c r="X30" s="37"/>
      <c r="Y30" s="38"/>
      <c r="Z30" s="37"/>
      <c r="AA30" s="39"/>
      <c r="AB30" s="39"/>
      <c r="AC30" s="40"/>
      <c r="AD30" s="36"/>
      <c r="AE30" s="37"/>
      <c r="AF30" s="38"/>
      <c r="AG30" s="37"/>
      <c r="AH30" s="39"/>
      <c r="AI30" s="39"/>
      <c r="AJ30" s="40"/>
      <c r="AK30" s="8"/>
      <c r="AL30" s="8"/>
    </row>
    <row r="31" spans="1:38" ht="18.75" thickBot="1">
      <c r="A31" s="8"/>
      <c r="B31" s="41"/>
      <c r="C31" s="42"/>
      <c r="D31" s="43"/>
      <c r="E31" s="42"/>
      <c r="F31" s="44"/>
      <c r="G31" s="44"/>
      <c r="H31" s="45"/>
      <c r="I31" s="41"/>
      <c r="J31" s="42"/>
      <c r="K31" s="43"/>
      <c r="L31" s="42"/>
      <c r="M31" s="44"/>
      <c r="N31" s="44"/>
      <c r="O31" s="45"/>
      <c r="P31" s="41"/>
      <c r="Q31" s="42"/>
      <c r="R31" s="43"/>
      <c r="S31" s="42"/>
      <c r="T31" s="44"/>
      <c r="U31" s="44"/>
      <c r="V31" s="45"/>
      <c r="W31" s="41"/>
      <c r="X31" s="42"/>
      <c r="Y31" s="43"/>
      <c r="Z31" s="42"/>
      <c r="AA31" s="44"/>
      <c r="AB31" s="44"/>
      <c r="AC31" s="45"/>
      <c r="AD31" s="41"/>
      <c r="AE31" s="42"/>
      <c r="AF31" s="43"/>
      <c r="AG31" s="42"/>
      <c r="AH31" s="44"/>
      <c r="AI31" s="44"/>
      <c r="AJ31" s="45"/>
      <c r="AK31" s="8"/>
      <c r="AL31" s="8"/>
    </row>
    <row r="32" spans="1:38">
      <c r="A32" s="8"/>
      <c r="B32" s="146" t="s">
        <v>88</v>
      </c>
      <c r="C32" s="147"/>
      <c r="D32" s="147"/>
      <c r="E32" s="147"/>
      <c r="F32" s="147"/>
      <c r="G32" s="147"/>
      <c r="H32" s="30">
        <v>45152</v>
      </c>
      <c r="I32" s="146" t="s">
        <v>88</v>
      </c>
      <c r="J32" s="147"/>
      <c r="K32" s="147"/>
      <c r="L32" s="147"/>
      <c r="M32" s="147"/>
      <c r="N32" s="147"/>
      <c r="O32" s="30">
        <v>45153</v>
      </c>
      <c r="P32" s="146" t="s">
        <v>88</v>
      </c>
      <c r="Q32" s="147"/>
      <c r="R32" s="147"/>
      <c r="S32" s="147"/>
      <c r="T32" s="147"/>
      <c r="U32" s="147"/>
      <c r="V32" s="30">
        <v>45154</v>
      </c>
      <c r="W32" s="146" t="s">
        <v>88</v>
      </c>
      <c r="X32" s="147"/>
      <c r="Y32" s="147"/>
      <c r="Z32" s="147"/>
      <c r="AA32" s="147"/>
      <c r="AB32" s="147"/>
      <c r="AC32" s="30">
        <v>45155</v>
      </c>
      <c r="AD32" s="146" t="s">
        <v>88</v>
      </c>
      <c r="AE32" s="147"/>
      <c r="AF32" s="147"/>
      <c r="AG32" s="147"/>
      <c r="AH32" s="147"/>
      <c r="AI32" s="147"/>
      <c r="AJ32" s="30">
        <v>45156</v>
      </c>
      <c r="AK32" s="8"/>
      <c r="AL32" s="8"/>
    </row>
    <row r="33" spans="1:38" ht="29.25">
      <c r="A33" s="8"/>
      <c r="B33" s="36" t="s">
        <v>90</v>
      </c>
      <c r="C33" s="37" t="s">
        <v>91</v>
      </c>
      <c r="D33" s="38" t="s">
        <v>128</v>
      </c>
      <c r="E33" s="37" t="s">
        <v>89</v>
      </c>
      <c r="F33" s="39" t="s">
        <v>93</v>
      </c>
      <c r="G33" s="39">
        <v>2</v>
      </c>
      <c r="H33" s="40">
        <v>45152</v>
      </c>
      <c r="I33" s="36" t="s">
        <v>90</v>
      </c>
      <c r="J33" s="37" t="s">
        <v>91</v>
      </c>
      <c r="K33" s="38" t="s">
        <v>129</v>
      </c>
      <c r="L33" s="37" t="s">
        <v>89</v>
      </c>
      <c r="M33" s="39" t="s">
        <v>97</v>
      </c>
      <c r="N33" s="39">
        <v>2</v>
      </c>
      <c r="O33" s="40">
        <v>45152</v>
      </c>
      <c r="P33" s="36" t="s">
        <v>94</v>
      </c>
      <c r="Q33" s="37" t="s">
        <v>95</v>
      </c>
      <c r="R33" s="38" t="s">
        <v>130</v>
      </c>
      <c r="S33" s="37" t="s">
        <v>89</v>
      </c>
      <c r="T33" s="39" t="s">
        <v>97</v>
      </c>
      <c r="U33" s="39">
        <v>1</v>
      </c>
      <c r="V33" s="40">
        <v>45158</v>
      </c>
      <c r="W33" s="36" t="s">
        <v>94</v>
      </c>
      <c r="X33" s="37" t="s">
        <v>98</v>
      </c>
      <c r="Y33" s="38" t="s">
        <v>131</v>
      </c>
      <c r="Z33" s="37" t="s">
        <v>89</v>
      </c>
      <c r="AA33" s="39" t="s">
        <v>93</v>
      </c>
      <c r="AB33" s="39">
        <v>4</v>
      </c>
      <c r="AC33" s="40">
        <v>45156</v>
      </c>
      <c r="AD33" s="36" t="s">
        <v>116</v>
      </c>
      <c r="AE33" s="37" t="s">
        <v>110</v>
      </c>
      <c r="AF33" s="38" t="s">
        <v>132</v>
      </c>
      <c r="AG33" s="37" t="s">
        <v>89</v>
      </c>
      <c r="AH33" s="39" t="s">
        <v>93</v>
      </c>
      <c r="AI33" s="39">
        <v>4</v>
      </c>
      <c r="AJ33" s="40">
        <v>45165</v>
      </c>
      <c r="AK33" s="8"/>
      <c r="AL33" s="8"/>
    </row>
    <row r="34" spans="1:38">
      <c r="A34" s="8"/>
      <c r="B34" s="36" t="s">
        <v>106</v>
      </c>
      <c r="C34" s="37" t="s">
        <v>95</v>
      </c>
      <c r="D34" s="38" t="s">
        <v>133</v>
      </c>
      <c r="E34" s="37" t="s">
        <v>89</v>
      </c>
      <c r="F34" s="39" t="s">
        <v>97</v>
      </c>
      <c r="G34" s="39">
        <v>4</v>
      </c>
      <c r="H34" s="40">
        <v>45153</v>
      </c>
      <c r="I34" s="36" t="s">
        <v>90</v>
      </c>
      <c r="J34" s="37" t="s">
        <v>91</v>
      </c>
      <c r="K34" s="38" t="s">
        <v>134</v>
      </c>
      <c r="L34" s="37" t="s">
        <v>89</v>
      </c>
      <c r="M34" s="39" t="s">
        <v>97</v>
      </c>
      <c r="N34" s="39">
        <v>2</v>
      </c>
      <c r="O34" s="40">
        <v>45152</v>
      </c>
      <c r="P34" s="36" t="s">
        <v>94</v>
      </c>
      <c r="Q34" s="37" t="s">
        <v>102</v>
      </c>
      <c r="R34" s="38" t="s">
        <v>135</v>
      </c>
      <c r="S34" s="37" t="s">
        <v>89</v>
      </c>
      <c r="T34" s="39" t="s">
        <v>97</v>
      </c>
      <c r="U34" s="39">
        <v>1</v>
      </c>
      <c r="V34" s="40">
        <v>45158</v>
      </c>
      <c r="W34" s="36"/>
      <c r="X34" s="37"/>
      <c r="Y34" s="38" t="s">
        <v>136</v>
      </c>
      <c r="Z34" s="37"/>
      <c r="AA34" s="39"/>
      <c r="AB34" s="39"/>
      <c r="AC34" s="40"/>
      <c r="AD34" s="36" t="s">
        <v>116</v>
      </c>
      <c r="AE34" s="37" t="s">
        <v>110</v>
      </c>
      <c r="AF34" s="38" t="s">
        <v>137</v>
      </c>
      <c r="AG34" s="37" t="s">
        <v>89</v>
      </c>
      <c r="AH34" s="39" t="s">
        <v>93</v>
      </c>
      <c r="AI34" s="39">
        <v>3</v>
      </c>
      <c r="AJ34" s="40">
        <v>45165</v>
      </c>
      <c r="AK34" s="8"/>
      <c r="AL34" s="8"/>
    </row>
    <row r="35" spans="1:38">
      <c r="A35" s="8"/>
      <c r="B35" s="36"/>
      <c r="C35" s="37"/>
      <c r="D35" s="38"/>
      <c r="E35" s="37"/>
      <c r="F35" s="39"/>
      <c r="G35" s="39"/>
      <c r="H35" s="40"/>
      <c r="I35" s="36"/>
      <c r="J35" s="37"/>
      <c r="K35" s="38"/>
      <c r="L35" s="37"/>
      <c r="M35" s="39"/>
      <c r="N35" s="39"/>
      <c r="O35" s="40"/>
      <c r="P35" s="36" t="s">
        <v>94</v>
      </c>
      <c r="Q35" s="37" t="s">
        <v>98</v>
      </c>
      <c r="R35" s="38" t="s">
        <v>138</v>
      </c>
      <c r="S35" s="37" t="s">
        <v>89</v>
      </c>
      <c r="T35" s="39" t="s">
        <v>97</v>
      </c>
      <c r="U35" s="39">
        <v>1</v>
      </c>
      <c r="V35" s="40">
        <v>45158</v>
      </c>
      <c r="W35" s="36"/>
      <c r="X35" s="37"/>
      <c r="Y35" s="38"/>
      <c r="Z35" s="37"/>
      <c r="AA35" s="39"/>
      <c r="AB35" s="39"/>
      <c r="AC35" s="40"/>
      <c r="AD35" s="36"/>
      <c r="AE35" s="37"/>
      <c r="AF35" s="38"/>
      <c r="AG35" s="37"/>
      <c r="AH35" s="39"/>
      <c r="AI35" s="39"/>
      <c r="AJ35" s="40"/>
      <c r="AK35" s="8"/>
      <c r="AL35" s="8"/>
    </row>
    <row r="36" spans="1:38">
      <c r="A36" s="8"/>
      <c r="B36" s="36"/>
      <c r="C36" s="37"/>
      <c r="D36" s="38"/>
      <c r="E36" s="37"/>
      <c r="F36" s="39"/>
      <c r="G36" s="39"/>
      <c r="H36" s="40"/>
      <c r="I36" s="36"/>
      <c r="J36" s="37"/>
      <c r="K36" s="38"/>
      <c r="L36" s="37"/>
      <c r="M36" s="39"/>
      <c r="N36" s="39"/>
      <c r="O36" s="40"/>
      <c r="P36" s="36" t="s">
        <v>100</v>
      </c>
      <c r="Q36" s="37"/>
      <c r="R36" s="38" t="s">
        <v>139</v>
      </c>
      <c r="S36" s="37" t="s">
        <v>89</v>
      </c>
      <c r="T36" s="39" t="s">
        <v>93</v>
      </c>
      <c r="U36" s="39">
        <v>4</v>
      </c>
      <c r="V36" s="40"/>
      <c r="W36" s="36"/>
      <c r="X36" s="37"/>
      <c r="Y36" s="38"/>
      <c r="Z36" s="37"/>
      <c r="AA36" s="39"/>
      <c r="AB36" s="39"/>
      <c r="AC36" s="40"/>
      <c r="AD36" s="36"/>
      <c r="AE36" s="37"/>
      <c r="AF36" s="38"/>
      <c r="AG36" s="37"/>
      <c r="AH36" s="39"/>
      <c r="AI36" s="39"/>
      <c r="AJ36" s="40"/>
      <c r="AK36" s="8"/>
      <c r="AL36" s="8"/>
    </row>
    <row r="37" spans="1:38">
      <c r="A37" s="8"/>
      <c r="B37" s="36"/>
      <c r="C37" s="37"/>
      <c r="D37" s="38"/>
      <c r="E37" s="37"/>
      <c r="F37" s="39"/>
      <c r="G37" s="39"/>
      <c r="H37" s="40"/>
      <c r="I37" s="36"/>
      <c r="J37" s="37"/>
      <c r="K37" s="38"/>
      <c r="L37" s="37"/>
      <c r="M37" s="39"/>
      <c r="N37" s="39"/>
      <c r="O37" s="40"/>
      <c r="P37" s="36"/>
      <c r="Q37" s="37"/>
      <c r="R37" s="38"/>
      <c r="S37" s="37"/>
      <c r="T37" s="39"/>
      <c r="U37" s="39"/>
      <c r="V37" s="40"/>
      <c r="W37" s="36"/>
      <c r="X37" s="37"/>
      <c r="Y37" s="38"/>
      <c r="Z37" s="37"/>
      <c r="AA37" s="39"/>
      <c r="AB37" s="39"/>
      <c r="AC37" s="40"/>
      <c r="AD37" s="36"/>
      <c r="AE37" s="37"/>
      <c r="AF37" s="38"/>
      <c r="AG37" s="37"/>
      <c r="AH37" s="39"/>
      <c r="AI37" s="39"/>
      <c r="AJ37" s="40"/>
      <c r="AK37" s="8"/>
      <c r="AL37" s="8"/>
    </row>
    <row r="38" spans="1:38" ht="29.25">
      <c r="A38" s="8"/>
      <c r="B38" s="36" t="s">
        <v>94</v>
      </c>
      <c r="C38" s="37" t="s">
        <v>98</v>
      </c>
      <c r="D38" s="38" t="s">
        <v>140</v>
      </c>
      <c r="E38" s="37" t="s">
        <v>108</v>
      </c>
      <c r="F38" s="39" t="s">
        <v>97</v>
      </c>
      <c r="G38" s="39">
        <v>2</v>
      </c>
      <c r="H38" s="40">
        <v>45155</v>
      </c>
      <c r="I38" s="36" t="s">
        <v>90</v>
      </c>
      <c r="J38" s="37" t="s">
        <v>91</v>
      </c>
      <c r="K38" s="38" t="s">
        <v>128</v>
      </c>
      <c r="L38" s="37" t="s">
        <v>108</v>
      </c>
      <c r="M38" s="39" t="s">
        <v>93</v>
      </c>
      <c r="N38" s="39">
        <v>0.5</v>
      </c>
      <c r="O38" s="40"/>
      <c r="P38" s="36"/>
      <c r="Q38" s="37"/>
      <c r="R38" s="38"/>
      <c r="S38" s="37" t="s">
        <v>108</v>
      </c>
      <c r="T38" s="39"/>
      <c r="U38" s="39"/>
      <c r="V38" s="40"/>
      <c r="W38" s="36" t="s">
        <v>90</v>
      </c>
      <c r="X38" s="37" t="s">
        <v>91</v>
      </c>
      <c r="Y38" s="38" t="s">
        <v>112</v>
      </c>
      <c r="Z38" s="37" t="s">
        <v>108</v>
      </c>
      <c r="AA38" s="39" t="s">
        <v>93</v>
      </c>
      <c r="AB38" s="39">
        <v>0.5</v>
      </c>
      <c r="AC38" s="40"/>
      <c r="AD38" s="36" t="s">
        <v>94</v>
      </c>
      <c r="AE38" s="37" t="s">
        <v>98</v>
      </c>
      <c r="AF38" s="38" t="s">
        <v>131</v>
      </c>
      <c r="AG38" s="37" t="s">
        <v>108</v>
      </c>
      <c r="AH38" s="39" t="s">
        <v>97</v>
      </c>
      <c r="AI38" s="39">
        <v>1.5</v>
      </c>
      <c r="AJ38" s="40">
        <v>45156</v>
      </c>
      <c r="AK38" s="8"/>
      <c r="AL38" s="8"/>
    </row>
    <row r="39" spans="1:38">
      <c r="A39" s="8"/>
      <c r="B39" s="36" t="s">
        <v>119</v>
      </c>
      <c r="C39" s="37" t="s">
        <v>95</v>
      </c>
      <c r="D39" s="38" t="s">
        <v>141</v>
      </c>
      <c r="E39" s="37" t="s">
        <v>108</v>
      </c>
      <c r="F39" s="39" t="s">
        <v>93</v>
      </c>
      <c r="G39" s="39">
        <v>1.5</v>
      </c>
      <c r="H39" s="40">
        <v>45152</v>
      </c>
      <c r="I39" s="36" t="s">
        <v>94</v>
      </c>
      <c r="J39" s="37" t="s">
        <v>98</v>
      </c>
      <c r="K39" s="38" t="s">
        <v>142</v>
      </c>
      <c r="L39" s="37" t="s">
        <v>108</v>
      </c>
      <c r="M39" s="39" t="s">
        <v>97</v>
      </c>
      <c r="N39" s="39">
        <v>1</v>
      </c>
      <c r="O39" s="40">
        <v>45155</v>
      </c>
      <c r="P39" s="36"/>
      <c r="Q39" s="37"/>
      <c r="R39" s="38"/>
      <c r="S39" s="37"/>
      <c r="T39" s="39"/>
      <c r="U39" s="39"/>
      <c r="V39" s="40"/>
      <c r="W39" s="36" t="s">
        <v>94</v>
      </c>
      <c r="X39" s="37" t="s">
        <v>95</v>
      </c>
      <c r="Y39" s="38" t="s">
        <v>130</v>
      </c>
      <c r="Z39" s="37" t="s">
        <v>108</v>
      </c>
      <c r="AA39" s="39" t="s">
        <v>97</v>
      </c>
      <c r="AB39" s="39">
        <v>1</v>
      </c>
      <c r="AC39" s="40">
        <v>45158</v>
      </c>
      <c r="AD39" s="36" t="s">
        <v>143</v>
      </c>
      <c r="AE39" s="37" t="s">
        <v>98</v>
      </c>
      <c r="AF39" s="105" t="s">
        <v>144</v>
      </c>
      <c r="AG39" s="37" t="s">
        <v>108</v>
      </c>
      <c r="AH39" s="39" t="s">
        <v>93</v>
      </c>
      <c r="AI39" s="39">
        <v>3</v>
      </c>
      <c r="AJ39" s="40">
        <v>45158</v>
      </c>
      <c r="AK39" s="8"/>
      <c r="AL39" s="8"/>
    </row>
    <row r="40" spans="1:38" ht="29.25">
      <c r="A40" s="8"/>
      <c r="B40" s="36" t="s">
        <v>119</v>
      </c>
      <c r="C40" s="37" t="s">
        <v>95</v>
      </c>
      <c r="D40" s="38" t="s">
        <v>124</v>
      </c>
      <c r="E40" s="37" t="s">
        <v>108</v>
      </c>
      <c r="F40" s="39" t="s">
        <v>93</v>
      </c>
      <c r="G40" s="39">
        <v>2</v>
      </c>
      <c r="H40" s="40">
        <v>45153</v>
      </c>
      <c r="I40" s="36" t="s">
        <v>109</v>
      </c>
      <c r="J40" s="37" t="s">
        <v>110</v>
      </c>
      <c r="K40" s="38" t="s">
        <v>145</v>
      </c>
      <c r="L40" s="37" t="s">
        <v>108</v>
      </c>
      <c r="M40" s="39" t="s">
        <v>97</v>
      </c>
      <c r="N40" s="39">
        <v>1</v>
      </c>
      <c r="O40" s="40">
        <v>45169</v>
      </c>
      <c r="P40" s="36"/>
      <c r="Q40" s="37"/>
      <c r="R40" s="38"/>
      <c r="S40" s="37"/>
      <c r="T40" s="39"/>
      <c r="U40" s="39"/>
      <c r="V40" s="40"/>
      <c r="W40" s="36" t="s">
        <v>94</v>
      </c>
      <c r="X40" s="37" t="s">
        <v>102</v>
      </c>
      <c r="Y40" s="38" t="s">
        <v>135</v>
      </c>
      <c r="Z40" s="37" t="s">
        <v>108</v>
      </c>
      <c r="AA40" s="39" t="s">
        <v>97</v>
      </c>
      <c r="AB40" s="39">
        <v>1</v>
      </c>
      <c r="AC40" s="40">
        <v>45158</v>
      </c>
      <c r="AD40" s="36"/>
      <c r="AE40" s="37"/>
      <c r="AF40" s="38"/>
      <c r="AG40" s="37"/>
      <c r="AH40" s="39"/>
      <c r="AI40" s="39"/>
      <c r="AJ40" s="40"/>
      <c r="AK40" s="8"/>
      <c r="AL40" s="8"/>
    </row>
    <row r="41" spans="1:38">
      <c r="A41" s="8"/>
      <c r="B41" s="36"/>
      <c r="C41" s="37"/>
      <c r="D41" s="38"/>
      <c r="E41" s="37"/>
      <c r="F41" s="39"/>
      <c r="G41" s="39"/>
      <c r="H41" s="40"/>
      <c r="I41" s="36" t="s">
        <v>106</v>
      </c>
      <c r="J41" s="37" t="s">
        <v>95</v>
      </c>
      <c r="K41" s="38" t="s">
        <v>133</v>
      </c>
      <c r="L41" s="37" t="s">
        <v>108</v>
      </c>
      <c r="M41" s="39" t="s">
        <v>97</v>
      </c>
      <c r="N41" s="39">
        <v>2</v>
      </c>
      <c r="O41" s="40">
        <v>45153</v>
      </c>
      <c r="P41" s="36"/>
      <c r="Q41" s="37"/>
      <c r="R41" s="38"/>
      <c r="S41" s="37"/>
      <c r="T41" s="39"/>
      <c r="U41" s="39"/>
      <c r="V41" s="40"/>
      <c r="W41" s="36" t="s">
        <v>94</v>
      </c>
      <c r="X41" s="37" t="s">
        <v>98</v>
      </c>
      <c r="Y41" s="38" t="s">
        <v>138</v>
      </c>
      <c r="Z41" s="37" t="s">
        <v>108</v>
      </c>
      <c r="AA41" s="39" t="s">
        <v>97</v>
      </c>
      <c r="AB41" s="39">
        <v>1</v>
      </c>
      <c r="AC41" s="40">
        <v>45158</v>
      </c>
      <c r="AD41" s="36"/>
      <c r="AE41" s="37"/>
      <c r="AF41" s="38"/>
      <c r="AG41" s="37"/>
      <c r="AH41" s="39"/>
      <c r="AI41" s="39"/>
      <c r="AJ41" s="40"/>
      <c r="AK41" s="8"/>
      <c r="AL41" s="8"/>
    </row>
    <row r="42" spans="1:38">
      <c r="A42" s="8"/>
      <c r="B42" s="36"/>
      <c r="C42" s="37"/>
      <c r="D42" s="38"/>
      <c r="E42" s="37"/>
      <c r="F42" s="39"/>
      <c r="G42" s="39"/>
      <c r="H42" s="40"/>
      <c r="I42" s="36"/>
      <c r="J42" s="37"/>
      <c r="K42" s="38"/>
      <c r="L42" s="37"/>
      <c r="M42" s="39"/>
      <c r="N42" s="39"/>
      <c r="O42" s="40"/>
      <c r="P42" s="36"/>
      <c r="Q42" s="37"/>
      <c r="R42" s="38"/>
      <c r="S42" s="37"/>
      <c r="T42" s="39"/>
      <c r="U42" s="39"/>
      <c r="V42" s="40"/>
      <c r="W42" s="36"/>
      <c r="X42" s="37"/>
      <c r="Y42" s="38"/>
      <c r="Z42" s="37"/>
      <c r="AA42" s="39"/>
      <c r="AB42" s="39"/>
      <c r="AC42" s="40"/>
      <c r="AD42" s="36"/>
      <c r="AE42" s="37"/>
      <c r="AF42" s="38"/>
      <c r="AG42" s="37"/>
      <c r="AH42" s="39"/>
      <c r="AI42" s="39"/>
      <c r="AJ42" s="40"/>
      <c r="AK42" s="8"/>
      <c r="AL42" s="8"/>
    </row>
    <row r="43" spans="1:38" ht="18.75" thickBot="1">
      <c r="A43" s="8"/>
      <c r="B43" s="41"/>
      <c r="C43" s="42"/>
      <c r="D43" s="43"/>
      <c r="E43" s="42"/>
      <c r="F43" s="44"/>
      <c r="G43" s="44"/>
      <c r="H43" s="45"/>
      <c r="I43" s="41"/>
      <c r="J43" s="42"/>
      <c r="K43" s="43"/>
      <c r="L43" s="42"/>
      <c r="M43" s="44"/>
      <c r="N43" s="44"/>
      <c r="O43" s="45"/>
      <c r="P43" s="41"/>
      <c r="Q43" s="42"/>
      <c r="R43" s="43"/>
      <c r="S43" s="42"/>
      <c r="T43" s="44"/>
      <c r="U43" s="44"/>
      <c r="V43" s="45"/>
      <c r="W43" s="41"/>
      <c r="X43" s="42"/>
      <c r="Y43" s="43"/>
      <c r="Z43" s="42"/>
      <c r="AA43" s="44"/>
      <c r="AB43" s="44"/>
      <c r="AC43" s="45"/>
      <c r="AD43" s="41"/>
      <c r="AE43" s="42"/>
      <c r="AF43" s="43"/>
      <c r="AG43" s="42"/>
      <c r="AH43" s="44"/>
      <c r="AI43" s="44"/>
      <c r="AJ43" s="45"/>
      <c r="AK43" s="8"/>
      <c r="AL43" s="8"/>
    </row>
    <row r="44" spans="1:38">
      <c r="A44" s="8"/>
      <c r="B44" s="146" t="s">
        <v>88</v>
      </c>
      <c r="C44" s="147"/>
      <c r="D44" s="147"/>
      <c r="E44" s="147"/>
      <c r="F44" s="147"/>
      <c r="G44" s="147"/>
      <c r="H44" s="30">
        <v>45159</v>
      </c>
      <c r="I44" s="146" t="s">
        <v>88</v>
      </c>
      <c r="J44" s="147"/>
      <c r="K44" s="147"/>
      <c r="L44" s="147"/>
      <c r="M44" s="147"/>
      <c r="N44" s="147"/>
      <c r="O44" s="30">
        <v>45160</v>
      </c>
      <c r="P44" s="146" t="s">
        <v>88</v>
      </c>
      <c r="Q44" s="147"/>
      <c r="R44" s="147"/>
      <c r="S44" s="147"/>
      <c r="T44" s="147"/>
      <c r="U44" s="147"/>
      <c r="V44" s="30">
        <v>45161</v>
      </c>
      <c r="W44" s="146" t="s">
        <v>88</v>
      </c>
      <c r="X44" s="147"/>
      <c r="Y44" s="147"/>
      <c r="Z44" s="147"/>
      <c r="AA44" s="147"/>
      <c r="AB44" s="147"/>
      <c r="AC44" s="30">
        <v>45162</v>
      </c>
      <c r="AD44" s="146" t="s">
        <v>88</v>
      </c>
      <c r="AE44" s="147"/>
      <c r="AF44" s="147"/>
      <c r="AG44" s="147"/>
      <c r="AH44" s="147"/>
      <c r="AI44" s="147"/>
      <c r="AJ44" s="30">
        <v>45163</v>
      </c>
      <c r="AK44" s="8"/>
      <c r="AL44" s="8"/>
    </row>
    <row r="45" spans="1:38" ht="29.25">
      <c r="A45" s="8"/>
      <c r="B45" s="36" t="s">
        <v>90</v>
      </c>
      <c r="C45" s="37" t="s">
        <v>110</v>
      </c>
      <c r="D45" s="38" t="s">
        <v>146</v>
      </c>
      <c r="E45" s="37" t="s">
        <v>147</v>
      </c>
      <c r="F45" s="39" t="s">
        <v>97</v>
      </c>
      <c r="G45" s="39">
        <v>6</v>
      </c>
      <c r="H45" s="40">
        <v>45169</v>
      </c>
      <c r="I45" s="36" t="s">
        <v>90</v>
      </c>
      <c r="J45" s="37" t="s">
        <v>91</v>
      </c>
      <c r="K45" s="38" t="s">
        <v>148</v>
      </c>
      <c r="L45" s="37" t="s">
        <v>89</v>
      </c>
      <c r="M45" s="39" t="s">
        <v>97</v>
      </c>
      <c r="N45" s="39">
        <v>3</v>
      </c>
      <c r="O45" s="40">
        <v>45161</v>
      </c>
      <c r="P45" s="36" t="s">
        <v>109</v>
      </c>
      <c r="Q45" s="37" t="s">
        <v>110</v>
      </c>
      <c r="R45" s="38" t="s">
        <v>149</v>
      </c>
      <c r="S45" s="37" t="s">
        <v>147</v>
      </c>
      <c r="T45" s="39" t="s">
        <v>97</v>
      </c>
      <c r="U45" s="39">
        <v>2</v>
      </c>
      <c r="V45" s="40">
        <v>45169</v>
      </c>
      <c r="W45" s="36" t="s">
        <v>106</v>
      </c>
      <c r="X45" s="37" t="s">
        <v>102</v>
      </c>
      <c r="Y45" s="38" t="s">
        <v>150</v>
      </c>
      <c r="Z45" s="37" t="s">
        <v>108</v>
      </c>
      <c r="AA45" s="39" t="s">
        <v>97</v>
      </c>
      <c r="AB45" s="39">
        <v>4</v>
      </c>
      <c r="AC45" s="40">
        <v>45163</v>
      </c>
      <c r="AD45" s="36" t="s">
        <v>94</v>
      </c>
      <c r="AE45" s="37" t="s">
        <v>98</v>
      </c>
      <c r="AF45" s="38" t="s">
        <v>151</v>
      </c>
      <c r="AG45" s="37" t="s">
        <v>89</v>
      </c>
      <c r="AH45" s="39" t="s">
        <v>97</v>
      </c>
      <c r="AI45" s="39">
        <v>4</v>
      </c>
      <c r="AJ45" s="40">
        <v>45167</v>
      </c>
      <c r="AK45" s="8"/>
      <c r="AL45" s="8"/>
    </row>
    <row r="46" spans="1:38" ht="29.25">
      <c r="A46" s="8"/>
      <c r="B46" s="36" t="s">
        <v>90</v>
      </c>
      <c r="C46" s="37" t="s">
        <v>91</v>
      </c>
      <c r="D46" s="38" t="s">
        <v>152</v>
      </c>
      <c r="E46" s="37" t="s">
        <v>89</v>
      </c>
      <c r="F46" s="39" t="s">
        <v>97</v>
      </c>
      <c r="G46" s="39">
        <v>3</v>
      </c>
      <c r="H46" s="40">
        <v>45161</v>
      </c>
      <c r="I46" s="36" t="s">
        <v>90</v>
      </c>
      <c r="J46" s="37" t="s">
        <v>91</v>
      </c>
      <c r="K46" s="38" t="s">
        <v>153</v>
      </c>
      <c r="L46" s="37" t="s">
        <v>89</v>
      </c>
      <c r="M46" s="39" t="s">
        <v>97</v>
      </c>
      <c r="N46" s="39">
        <v>2</v>
      </c>
      <c r="O46" s="40">
        <v>45161</v>
      </c>
      <c r="P46" s="36" t="s">
        <v>109</v>
      </c>
      <c r="Q46" s="37" t="s">
        <v>110</v>
      </c>
      <c r="R46" s="38" t="s">
        <v>154</v>
      </c>
      <c r="S46" s="37" t="s">
        <v>89</v>
      </c>
      <c r="T46" s="39" t="s">
        <v>97</v>
      </c>
      <c r="U46" s="39">
        <v>8</v>
      </c>
      <c r="V46" s="40">
        <v>45162</v>
      </c>
      <c r="W46" s="36"/>
      <c r="X46" s="37"/>
      <c r="Y46" s="38"/>
      <c r="Z46" s="37"/>
      <c r="AA46" s="39"/>
      <c r="AB46" s="39"/>
      <c r="AC46" s="40"/>
      <c r="AE46" s="37"/>
      <c r="AF46" s="38"/>
      <c r="AG46" s="37"/>
      <c r="AH46" s="39"/>
      <c r="AI46" s="39"/>
      <c r="AJ46" s="40"/>
      <c r="AK46" s="8"/>
      <c r="AL46" s="8"/>
    </row>
    <row r="47" spans="1:38">
      <c r="A47" s="8"/>
      <c r="B47" s="36" t="s">
        <v>119</v>
      </c>
      <c r="C47" s="37" t="s">
        <v>95</v>
      </c>
      <c r="D47" s="38" t="s">
        <v>155</v>
      </c>
      <c r="E47" s="37" t="s">
        <v>89</v>
      </c>
      <c r="F47" s="39" t="s">
        <v>93</v>
      </c>
      <c r="G47" s="39">
        <v>2</v>
      </c>
      <c r="H47" s="40">
        <v>45160</v>
      </c>
      <c r="I47" s="36" t="s">
        <v>100</v>
      </c>
      <c r="J47" s="37"/>
      <c r="K47" s="38" t="s">
        <v>156</v>
      </c>
      <c r="L47" s="37" t="s">
        <v>89</v>
      </c>
      <c r="M47" s="39" t="s">
        <v>93</v>
      </c>
      <c r="N47" s="39">
        <v>3</v>
      </c>
      <c r="O47" s="40"/>
      <c r="P47" s="36"/>
      <c r="Q47" s="37"/>
      <c r="R47" s="38"/>
      <c r="S47" s="37"/>
      <c r="T47" s="39"/>
      <c r="U47" s="39"/>
      <c r="V47" s="40"/>
      <c r="W47" s="36"/>
      <c r="X47" s="37"/>
      <c r="Y47" s="38"/>
      <c r="Z47" s="37"/>
      <c r="AA47" s="39"/>
      <c r="AB47" s="39"/>
      <c r="AC47" s="40"/>
      <c r="AD47" s="36"/>
      <c r="AE47" s="37"/>
      <c r="AF47" s="38"/>
      <c r="AG47" s="37"/>
      <c r="AH47" s="39"/>
      <c r="AI47" s="39"/>
      <c r="AJ47" s="40"/>
      <c r="AK47" s="8"/>
      <c r="AL47" s="8"/>
    </row>
    <row r="48" spans="1:38">
      <c r="A48" s="8"/>
      <c r="B48" s="36"/>
      <c r="C48" s="37"/>
      <c r="D48" s="38"/>
      <c r="E48" s="37"/>
      <c r="F48" s="39"/>
      <c r="G48" s="39"/>
      <c r="H48" s="40"/>
      <c r="I48" s="36"/>
      <c r="J48" s="37"/>
      <c r="K48" s="38"/>
      <c r="L48" s="37"/>
      <c r="M48" s="39"/>
      <c r="N48" s="39"/>
      <c r="O48" s="40"/>
      <c r="P48" s="36"/>
      <c r="Q48" s="37"/>
      <c r="R48" s="38"/>
      <c r="S48" s="37"/>
      <c r="T48" s="39"/>
      <c r="U48" s="39"/>
      <c r="V48" s="40"/>
      <c r="W48" s="36"/>
      <c r="X48" s="37"/>
      <c r="Y48" s="38"/>
      <c r="Z48" s="37"/>
      <c r="AA48" s="39"/>
      <c r="AB48" s="39"/>
      <c r="AC48" s="40"/>
      <c r="AD48" s="36"/>
      <c r="AE48" s="37"/>
      <c r="AF48" s="38"/>
      <c r="AG48" s="37"/>
      <c r="AH48" s="39"/>
      <c r="AI48" s="39"/>
      <c r="AJ48" s="40"/>
      <c r="AK48" s="8"/>
      <c r="AL48" s="8"/>
    </row>
    <row r="49" spans="1:38">
      <c r="A49" s="8"/>
      <c r="B49" s="36"/>
      <c r="C49" s="37"/>
      <c r="D49" s="38"/>
      <c r="E49" s="37"/>
      <c r="F49" s="39"/>
      <c r="G49" s="39"/>
      <c r="H49" s="40"/>
      <c r="I49" s="36"/>
      <c r="J49" s="37"/>
      <c r="K49" s="38"/>
      <c r="L49" s="37"/>
      <c r="M49" s="39"/>
      <c r="N49" s="39"/>
      <c r="O49" s="40"/>
      <c r="P49" s="36"/>
      <c r="Q49" s="37"/>
      <c r="R49" s="38"/>
      <c r="S49" s="37"/>
      <c r="T49" s="39"/>
      <c r="U49" s="39"/>
      <c r="V49" s="40"/>
      <c r="W49" s="36"/>
      <c r="X49" s="37"/>
      <c r="Y49" s="38"/>
      <c r="Z49" s="37"/>
      <c r="AA49" s="39"/>
      <c r="AB49" s="39"/>
      <c r="AC49" s="40"/>
      <c r="AD49" s="36"/>
      <c r="AE49" s="37"/>
      <c r="AF49" s="38"/>
      <c r="AG49" s="37"/>
      <c r="AH49" s="39"/>
      <c r="AI49" s="39"/>
      <c r="AJ49" s="40"/>
      <c r="AK49" s="8"/>
      <c r="AL49" s="8"/>
    </row>
    <row r="50" spans="1:38" ht="29.25">
      <c r="A50" s="8"/>
      <c r="B50" s="36"/>
      <c r="C50" s="37"/>
      <c r="D50" s="38"/>
      <c r="E50" s="37" t="s">
        <v>108</v>
      </c>
      <c r="F50" s="39"/>
      <c r="G50" s="39"/>
      <c r="H50" s="40"/>
      <c r="I50" s="36"/>
      <c r="J50" s="37"/>
      <c r="K50" s="38"/>
      <c r="L50" s="37" t="s">
        <v>108</v>
      </c>
      <c r="M50" s="39"/>
      <c r="N50" s="39"/>
      <c r="O50" s="40"/>
      <c r="P50" s="36" t="s">
        <v>106</v>
      </c>
      <c r="Q50" s="37" t="s">
        <v>95</v>
      </c>
      <c r="R50" s="38" t="s">
        <v>157</v>
      </c>
      <c r="S50" s="37" t="s">
        <v>108</v>
      </c>
      <c r="T50" s="39" t="s">
        <v>97</v>
      </c>
      <c r="U50" s="39">
        <v>2</v>
      </c>
      <c r="V50" s="40">
        <v>45153</v>
      </c>
      <c r="W50" s="36" t="s">
        <v>90</v>
      </c>
      <c r="X50" s="37" t="s">
        <v>91</v>
      </c>
      <c r="Y50" s="38" t="s">
        <v>112</v>
      </c>
      <c r="Z50" s="37" t="s">
        <v>108</v>
      </c>
      <c r="AA50" s="39" t="s">
        <v>93</v>
      </c>
      <c r="AB50" s="39">
        <v>0.5</v>
      </c>
      <c r="AC50" s="40"/>
      <c r="AD50" s="36" t="s">
        <v>106</v>
      </c>
      <c r="AE50" s="37" t="s">
        <v>102</v>
      </c>
      <c r="AF50" s="38" t="s">
        <v>150</v>
      </c>
      <c r="AG50" s="37" t="s">
        <v>108</v>
      </c>
      <c r="AH50" s="39" t="s">
        <v>97</v>
      </c>
      <c r="AI50" s="39">
        <v>2</v>
      </c>
      <c r="AJ50" s="40">
        <v>45163</v>
      </c>
      <c r="AK50" s="8"/>
      <c r="AL50" s="8"/>
    </row>
    <row r="51" spans="1:38" ht="29.25">
      <c r="A51" s="8"/>
      <c r="B51" s="36" t="s">
        <v>116</v>
      </c>
      <c r="C51" s="37" t="s">
        <v>110</v>
      </c>
      <c r="D51" s="38" t="s">
        <v>137</v>
      </c>
      <c r="E51" s="37" t="s">
        <v>108</v>
      </c>
      <c r="F51" s="39" t="s">
        <v>93</v>
      </c>
      <c r="G51" s="39">
        <v>1.5</v>
      </c>
      <c r="H51" s="40">
        <v>45165</v>
      </c>
      <c r="I51" s="36" t="s">
        <v>116</v>
      </c>
      <c r="J51" s="37" t="s">
        <v>110</v>
      </c>
      <c r="K51" s="38" t="s">
        <v>132</v>
      </c>
      <c r="L51" s="37" t="s">
        <v>108</v>
      </c>
      <c r="M51" s="39" t="s">
        <v>93</v>
      </c>
      <c r="N51" s="39">
        <v>1.5</v>
      </c>
      <c r="O51" s="40">
        <v>45165</v>
      </c>
      <c r="P51" s="36"/>
      <c r="Q51" s="37"/>
      <c r="R51" s="38"/>
      <c r="S51" s="37"/>
      <c r="T51" s="39"/>
      <c r="U51" s="39"/>
      <c r="V51" s="40"/>
      <c r="W51" s="36" t="s">
        <v>109</v>
      </c>
      <c r="X51" s="37" t="s">
        <v>110</v>
      </c>
      <c r="Y51" s="38" t="s">
        <v>154</v>
      </c>
      <c r="Z51" s="37" t="s">
        <v>108</v>
      </c>
      <c r="AA51" s="39" t="s">
        <v>97</v>
      </c>
      <c r="AB51" s="39">
        <v>1</v>
      </c>
      <c r="AC51" s="40">
        <v>45162</v>
      </c>
      <c r="AD51" s="36" t="s">
        <v>106</v>
      </c>
      <c r="AE51" s="37" t="s">
        <v>95</v>
      </c>
      <c r="AF51" s="38" t="s">
        <v>157</v>
      </c>
      <c r="AG51" s="37" t="s">
        <v>108</v>
      </c>
      <c r="AH51" s="39" t="s">
        <v>97</v>
      </c>
      <c r="AI51" s="39">
        <v>2</v>
      </c>
      <c r="AJ51" s="40">
        <v>45153</v>
      </c>
      <c r="AK51" s="8"/>
      <c r="AL51" s="8"/>
    </row>
    <row r="52" spans="1:38">
      <c r="A52" s="8"/>
      <c r="B52" s="36"/>
      <c r="C52" s="37"/>
      <c r="D52" s="38"/>
      <c r="E52" s="37"/>
      <c r="F52" s="39"/>
      <c r="G52" s="39"/>
      <c r="H52" s="40"/>
      <c r="I52" s="36" t="s">
        <v>119</v>
      </c>
      <c r="J52" s="37" t="s">
        <v>95</v>
      </c>
      <c r="K52" s="38" t="s">
        <v>155</v>
      </c>
      <c r="L52" s="37" t="s">
        <v>108</v>
      </c>
      <c r="M52" s="39" t="s">
        <v>97</v>
      </c>
      <c r="N52" s="39">
        <v>1.5</v>
      </c>
      <c r="O52" s="40">
        <v>45160</v>
      </c>
      <c r="P52" s="36"/>
      <c r="Q52" s="37"/>
      <c r="R52" s="38"/>
      <c r="S52" s="37"/>
      <c r="T52" s="39"/>
      <c r="U52" s="39"/>
      <c r="V52" s="40"/>
      <c r="W52" s="36" t="s">
        <v>109</v>
      </c>
      <c r="X52" s="37" t="s">
        <v>110</v>
      </c>
      <c r="Y52" s="38" t="s">
        <v>158</v>
      </c>
      <c r="Z52" s="37" t="s">
        <v>108</v>
      </c>
      <c r="AA52" s="39" t="s">
        <v>97</v>
      </c>
      <c r="AB52" s="39">
        <v>1.5</v>
      </c>
      <c r="AC52" s="40">
        <v>45168</v>
      </c>
      <c r="AD52" s="36"/>
      <c r="AE52" s="37"/>
      <c r="AF52" s="38"/>
      <c r="AG52" s="37"/>
      <c r="AH52" s="39"/>
      <c r="AI52" s="39"/>
      <c r="AJ52" s="40"/>
      <c r="AK52" s="8"/>
      <c r="AL52" s="8"/>
    </row>
    <row r="53" spans="1:38">
      <c r="A53" s="8"/>
      <c r="B53" s="36"/>
      <c r="C53" s="37"/>
      <c r="D53" s="38"/>
      <c r="E53" s="37"/>
      <c r="F53" s="39"/>
      <c r="G53" s="39"/>
      <c r="H53" s="40"/>
      <c r="I53" s="36"/>
      <c r="J53" s="37"/>
      <c r="K53" s="38"/>
      <c r="L53" s="37"/>
      <c r="M53" s="39"/>
      <c r="N53" s="39"/>
      <c r="O53" s="40"/>
      <c r="P53" s="36"/>
      <c r="Q53" s="37"/>
      <c r="R53" s="38"/>
      <c r="S53" s="37"/>
      <c r="T53" s="39"/>
      <c r="U53" s="39"/>
      <c r="V53" s="40"/>
      <c r="W53" s="36"/>
      <c r="X53" s="37"/>
      <c r="Y53" s="38"/>
      <c r="Z53" s="37"/>
      <c r="AA53" s="39"/>
      <c r="AB53" s="39"/>
      <c r="AC53" s="40"/>
      <c r="AD53" s="36"/>
      <c r="AE53" s="37"/>
      <c r="AF53" s="38"/>
      <c r="AG53" s="37"/>
      <c r="AH53" s="39"/>
      <c r="AI53" s="39"/>
      <c r="AJ53" s="40"/>
      <c r="AK53" s="8"/>
      <c r="AL53" s="8"/>
    </row>
    <row r="54" spans="1:38">
      <c r="A54" s="8"/>
      <c r="B54" s="36"/>
      <c r="C54" s="37"/>
      <c r="D54" s="38"/>
      <c r="E54" s="37"/>
      <c r="F54" s="39"/>
      <c r="G54" s="39"/>
      <c r="H54" s="40"/>
      <c r="I54" s="36"/>
      <c r="J54" s="37"/>
      <c r="K54" s="38"/>
      <c r="L54" s="37"/>
      <c r="M54" s="39"/>
      <c r="N54" s="39"/>
      <c r="O54" s="40"/>
      <c r="P54" s="36"/>
      <c r="Q54" s="37"/>
      <c r="R54" s="38"/>
      <c r="S54" s="37"/>
      <c r="T54" s="39"/>
      <c r="U54" s="39"/>
      <c r="V54" s="40"/>
      <c r="W54" s="36"/>
      <c r="X54" s="37"/>
      <c r="Y54" s="38"/>
      <c r="Z54" s="37"/>
      <c r="AA54" s="39"/>
      <c r="AB54" s="39"/>
      <c r="AC54" s="40"/>
      <c r="AD54" s="36"/>
      <c r="AE54" s="37"/>
      <c r="AF54" s="38"/>
      <c r="AG54" s="37"/>
      <c r="AH54" s="39"/>
      <c r="AI54" s="39"/>
      <c r="AJ54" s="40"/>
      <c r="AK54" s="8"/>
      <c r="AL54" s="8"/>
    </row>
    <row r="55" spans="1:38">
      <c r="A55" s="8"/>
      <c r="B55" s="41"/>
      <c r="C55" s="42"/>
      <c r="D55" s="43"/>
      <c r="E55" s="42"/>
      <c r="F55" s="44"/>
      <c r="G55" s="44"/>
      <c r="H55" s="45"/>
      <c r="I55" s="41"/>
      <c r="J55" s="42"/>
      <c r="K55" s="43"/>
      <c r="L55" s="42"/>
      <c r="M55" s="44"/>
      <c r="N55" s="44"/>
      <c r="O55" s="45"/>
      <c r="P55" s="41"/>
      <c r="Q55" s="42"/>
      <c r="R55" s="43"/>
      <c r="S55" s="42"/>
      <c r="T55" s="44"/>
      <c r="U55" s="44"/>
      <c r="V55" s="45"/>
      <c r="W55" s="41"/>
      <c r="X55" s="42"/>
      <c r="Y55" s="43"/>
      <c r="Z55" s="42"/>
      <c r="AA55" s="44"/>
      <c r="AB55" s="44"/>
      <c r="AC55" s="45"/>
      <c r="AD55" s="41"/>
      <c r="AE55" s="42"/>
      <c r="AF55" s="43"/>
      <c r="AG55" s="42"/>
      <c r="AH55" s="44"/>
      <c r="AI55" s="44"/>
      <c r="AJ55" s="45"/>
      <c r="AK55" s="8"/>
      <c r="AL55" s="8"/>
    </row>
    <row r="56" spans="1:38">
      <c r="A56" s="8"/>
      <c r="B56" s="146" t="s">
        <v>88</v>
      </c>
      <c r="C56" s="147"/>
      <c r="D56" s="147"/>
      <c r="E56" s="147"/>
      <c r="F56" s="147"/>
      <c r="G56" s="147"/>
      <c r="H56" s="30">
        <v>45166</v>
      </c>
      <c r="I56" s="146" t="s">
        <v>88</v>
      </c>
      <c r="J56" s="147"/>
      <c r="K56" s="147"/>
      <c r="L56" s="147"/>
      <c r="M56" s="147"/>
      <c r="N56" s="147"/>
      <c r="O56" s="30">
        <v>45167</v>
      </c>
      <c r="P56" s="146" t="s">
        <v>88</v>
      </c>
      <c r="Q56" s="147"/>
      <c r="R56" s="147"/>
      <c r="S56" s="147"/>
      <c r="T56" s="147"/>
      <c r="U56" s="147"/>
      <c r="V56" s="30">
        <v>45168</v>
      </c>
      <c r="W56" s="146" t="s">
        <v>88</v>
      </c>
      <c r="X56" s="147"/>
      <c r="Y56" s="147"/>
      <c r="Z56" s="147"/>
      <c r="AA56" s="147"/>
      <c r="AB56" s="147"/>
      <c r="AC56" s="30">
        <v>45169</v>
      </c>
      <c r="AD56" s="146" t="s">
        <v>88</v>
      </c>
      <c r="AE56" s="147"/>
      <c r="AF56" s="147"/>
      <c r="AG56" s="147"/>
      <c r="AH56" s="147"/>
      <c r="AI56" s="147"/>
      <c r="AJ56" s="30">
        <v>45170</v>
      </c>
      <c r="AK56" s="8"/>
      <c r="AL56" s="8"/>
    </row>
    <row r="57" spans="1:38" ht="33">
      <c r="A57" s="8"/>
      <c r="B57" s="36" t="s">
        <v>90</v>
      </c>
      <c r="C57" s="37" t="s">
        <v>91</v>
      </c>
      <c r="D57" s="38" t="s">
        <v>159</v>
      </c>
      <c r="E57" s="37" t="s">
        <v>89</v>
      </c>
      <c r="F57" s="39" t="s">
        <v>97</v>
      </c>
      <c r="G57" s="39">
        <v>4</v>
      </c>
      <c r="H57" s="40">
        <v>45166</v>
      </c>
      <c r="I57" s="36" t="s">
        <v>90</v>
      </c>
      <c r="J57" s="37" t="s">
        <v>91</v>
      </c>
      <c r="K57" s="38" t="s">
        <v>160</v>
      </c>
      <c r="L57" s="37" t="s">
        <v>89</v>
      </c>
      <c r="M57" s="39" t="s">
        <v>97</v>
      </c>
      <c r="N57" s="39">
        <v>2</v>
      </c>
      <c r="O57" s="40">
        <v>45168</v>
      </c>
      <c r="P57" s="36" t="s">
        <v>90</v>
      </c>
      <c r="Q57" s="37" t="s">
        <v>91</v>
      </c>
      <c r="R57" s="38" t="s">
        <v>161</v>
      </c>
      <c r="S57" s="37" t="s">
        <v>89</v>
      </c>
      <c r="T57" s="39" t="s">
        <v>97</v>
      </c>
      <c r="U57" s="39">
        <v>2</v>
      </c>
      <c r="V57" s="40">
        <v>45168</v>
      </c>
      <c r="W57" s="36" t="s">
        <v>116</v>
      </c>
      <c r="X57" s="37" t="s">
        <v>110</v>
      </c>
      <c r="Y57" s="38" t="s">
        <v>162</v>
      </c>
      <c r="Z57" s="37" t="s">
        <v>89</v>
      </c>
      <c r="AA57" s="39" t="s">
        <v>93</v>
      </c>
      <c r="AB57" s="39">
        <v>2</v>
      </c>
      <c r="AC57" s="40">
        <v>45174</v>
      </c>
      <c r="AD57" s="36"/>
      <c r="AE57" s="37"/>
      <c r="AF57" s="38"/>
      <c r="AG57" s="37" t="s">
        <v>89</v>
      </c>
      <c r="AH57" s="39"/>
      <c r="AI57" s="39"/>
      <c r="AJ57" s="40"/>
      <c r="AK57" s="8"/>
      <c r="AL57" s="8"/>
    </row>
    <row r="58" spans="1:38" ht="29.25">
      <c r="A58" s="8"/>
      <c r="B58" s="36" t="s">
        <v>116</v>
      </c>
      <c r="C58" s="37" t="s">
        <v>110</v>
      </c>
      <c r="D58" s="38" t="s">
        <v>123</v>
      </c>
      <c r="E58" s="37" t="s">
        <v>89</v>
      </c>
      <c r="F58" s="39" t="s">
        <v>93</v>
      </c>
      <c r="G58" s="39">
        <v>4</v>
      </c>
      <c r="H58" s="40">
        <v>45167</v>
      </c>
      <c r="I58" s="36" t="s">
        <v>90</v>
      </c>
      <c r="J58" s="37" t="s">
        <v>91</v>
      </c>
      <c r="K58" s="38" t="s">
        <v>163</v>
      </c>
      <c r="L58" s="37" t="s">
        <v>89</v>
      </c>
      <c r="M58" s="39" t="s">
        <v>97</v>
      </c>
      <c r="N58" s="39">
        <v>2</v>
      </c>
      <c r="O58" s="40">
        <v>45168</v>
      </c>
      <c r="P58" s="36" t="s">
        <v>116</v>
      </c>
      <c r="Q58" s="37" t="s">
        <v>110</v>
      </c>
      <c r="R58" s="38" t="s">
        <v>164</v>
      </c>
      <c r="S58" s="37" t="s">
        <v>89</v>
      </c>
      <c r="T58" s="39" t="s">
        <v>93</v>
      </c>
      <c r="U58" s="39">
        <v>4</v>
      </c>
      <c r="V58" s="40">
        <v>45174</v>
      </c>
      <c r="W58" s="36" t="s">
        <v>94</v>
      </c>
      <c r="X58" s="37" t="s">
        <v>98</v>
      </c>
      <c r="Y58" s="38" t="s">
        <v>165</v>
      </c>
      <c r="Z58" s="37" t="s">
        <v>89</v>
      </c>
      <c r="AA58" s="39" t="s">
        <v>93</v>
      </c>
      <c r="AB58" s="39">
        <v>2</v>
      </c>
      <c r="AC58" s="40" t="s">
        <v>166</v>
      </c>
      <c r="AD58" s="36"/>
      <c r="AE58" s="37"/>
      <c r="AF58" s="38"/>
      <c r="AG58" s="37"/>
      <c r="AH58" s="39"/>
      <c r="AI58" s="39"/>
      <c r="AJ58" s="40"/>
      <c r="AK58" s="8"/>
      <c r="AL58" s="8"/>
    </row>
    <row r="59" spans="1:38" ht="29.25">
      <c r="A59" s="8"/>
      <c r="B59" s="36"/>
      <c r="C59" s="37"/>
      <c r="D59" s="38"/>
      <c r="E59" s="37"/>
      <c r="F59" s="39"/>
      <c r="G59" s="39"/>
      <c r="H59" s="40"/>
      <c r="I59" s="36" t="s">
        <v>116</v>
      </c>
      <c r="J59" s="37" t="s">
        <v>110</v>
      </c>
      <c r="K59" s="38" t="s">
        <v>123</v>
      </c>
      <c r="L59" s="37" t="s">
        <v>89</v>
      </c>
      <c r="M59" s="39" t="s">
        <v>93</v>
      </c>
      <c r="N59" s="39">
        <v>4</v>
      </c>
      <c r="O59" s="40">
        <v>45167</v>
      </c>
      <c r="P59" s="36" t="s">
        <v>94</v>
      </c>
      <c r="Q59" s="37" t="s">
        <v>98</v>
      </c>
      <c r="R59" s="38" t="s">
        <v>167</v>
      </c>
      <c r="S59" s="37" t="s">
        <v>89</v>
      </c>
      <c r="T59" s="39" t="s">
        <v>97</v>
      </c>
      <c r="U59" s="39">
        <v>2</v>
      </c>
      <c r="V59" s="40">
        <v>45170</v>
      </c>
      <c r="W59" s="36" t="s">
        <v>109</v>
      </c>
      <c r="X59" s="37" t="s">
        <v>110</v>
      </c>
      <c r="Y59" s="38" t="s">
        <v>168</v>
      </c>
      <c r="Z59" s="37" t="s">
        <v>89</v>
      </c>
      <c r="AA59" s="39" t="s">
        <v>97</v>
      </c>
      <c r="AB59" s="39">
        <v>4</v>
      </c>
      <c r="AC59" s="40">
        <v>45169</v>
      </c>
      <c r="AD59" s="36"/>
      <c r="AE59" s="37"/>
      <c r="AF59" s="38"/>
      <c r="AG59" s="37"/>
      <c r="AH59" s="39"/>
      <c r="AI59" s="39"/>
      <c r="AJ59" s="40"/>
      <c r="AK59" s="8"/>
      <c r="AL59" s="8"/>
    </row>
    <row r="60" spans="1:38">
      <c r="A60" s="8"/>
      <c r="B60" s="36"/>
      <c r="C60" s="37"/>
      <c r="D60" s="38"/>
      <c r="E60" s="37"/>
      <c r="F60" s="39"/>
      <c r="G60" s="39"/>
      <c r="H60" s="40"/>
      <c r="I60" s="36"/>
      <c r="J60" s="37"/>
      <c r="K60" s="38"/>
      <c r="L60" s="37"/>
      <c r="M60" s="39"/>
      <c r="N60" s="39"/>
      <c r="O60" s="40"/>
      <c r="P60" s="36"/>
      <c r="Q60" s="37"/>
      <c r="R60" s="38"/>
      <c r="S60" s="37"/>
      <c r="T60" s="39"/>
      <c r="U60" s="39"/>
      <c r="V60" s="40"/>
      <c r="W60" s="36"/>
      <c r="X60" s="37"/>
      <c r="Y60" s="38"/>
      <c r="Z60" s="37"/>
      <c r="AA60" s="39"/>
      <c r="AB60" s="39"/>
      <c r="AC60" s="40"/>
      <c r="AD60" s="36"/>
      <c r="AE60" s="37"/>
      <c r="AF60" s="38"/>
      <c r="AG60" s="37"/>
      <c r="AH60" s="39"/>
      <c r="AI60" s="39"/>
      <c r="AJ60" s="40"/>
      <c r="AK60" s="8"/>
      <c r="AL60" s="8"/>
    </row>
    <row r="61" spans="1:38">
      <c r="A61" s="8"/>
      <c r="B61" s="36"/>
      <c r="C61" s="37"/>
      <c r="D61" s="38"/>
      <c r="E61" s="37"/>
      <c r="F61" s="39"/>
      <c r="G61" s="39"/>
      <c r="H61" s="40"/>
      <c r="I61" s="36"/>
      <c r="J61" s="37"/>
      <c r="K61" s="38"/>
      <c r="L61" s="37"/>
      <c r="M61" s="39"/>
      <c r="N61" s="39"/>
      <c r="O61" s="40"/>
      <c r="P61" s="36"/>
      <c r="Q61" s="37"/>
      <c r="R61" s="38"/>
      <c r="S61" s="37"/>
      <c r="T61" s="39"/>
      <c r="U61" s="39"/>
      <c r="V61" s="40"/>
      <c r="W61" s="36"/>
      <c r="X61" s="37"/>
      <c r="Y61" s="38"/>
      <c r="Z61" s="37"/>
      <c r="AA61" s="39"/>
      <c r="AB61" s="39"/>
      <c r="AC61" s="40"/>
      <c r="AD61" s="36"/>
      <c r="AE61" s="37"/>
      <c r="AF61" s="38"/>
      <c r="AG61" s="37"/>
      <c r="AH61" s="39"/>
      <c r="AI61" s="39"/>
      <c r="AJ61" s="40"/>
      <c r="AK61" s="8"/>
      <c r="AL61" s="8"/>
    </row>
    <row r="62" spans="1:38" ht="29.25">
      <c r="A62" s="8"/>
      <c r="B62" s="36" t="s">
        <v>94</v>
      </c>
      <c r="C62" s="37" t="s">
        <v>98</v>
      </c>
      <c r="D62" s="38" t="s">
        <v>151</v>
      </c>
      <c r="E62" s="37" t="s">
        <v>108</v>
      </c>
      <c r="F62" s="39" t="s">
        <v>97</v>
      </c>
      <c r="G62" s="39">
        <v>1.5</v>
      </c>
      <c r="H62" s="40">
        <v>45167</v>
      </c>
      <c r="I62" s="36" t="s">
        <v>90</v>
      </c>
      <c r="J62" s="37" t="s">
        <v>91</v>
      </c>
      <c r="K62" s="38" t="s">
        <v>169</v>
      </c>
      <c r="L62" s="37" t="s">
        <v>108</v>
      </c>
      <c r="M62" s="39" t="s">
        <v>93</v>
      </c>
      <c r="N62" s="39">
        <v>0.5</v>
      </c>
      <c r="O62" s="40"/>
      <c r="P62" s="36" t="s">
        <v>143</v>
      </c>
      <c r="Q62" s="37" t="s">
        <v>98</v>
      </c>
      <c r="R62" s="38" t="s">
        <v>170</v>
      </c>
      <c r="S62" s="37" t="s">
        <v>108</v>
      </c>
      <c r="T62" s="39" t="s">
        <v>93</v>
      </c>
      <c r="U62" s="39">
        <v>2</v>
      </c>
      <c r="V62" s="40">
        <v>45170</v>
      </c>
      <c r="W62" s="36" t="s">
        <v>90</v>
      </c>
      <c r="X62" s="37" t="s">
        <v>91</v>
      </c>
      <c r="Y62" s="38" t="s">
        <v>112</v>
      </c>
      <c r="Z62" s="37" t="s">
        <v>108</v>
      </c>
      <c r="AA62" s="39" t="s">
        <v>93</v>
      </c>
      <c r="AB62" s="39">
        <v>0.5</v>
      </c>
      <c r="AC62" s="40"/>
      <c r="AD62" s="36"/>
      <c r="AE62" s="37"/>
      <c r="AF62" s="38"/>
      <c r="AG62" s="37" t="s">
        <v>108</v>
      </c>
      <c r="AH62" s="39"/>
      <c r="AI62" s="39"/>
      <c r="AJ62" s="40"/>
      <c r="AK62" s="8"/>
      <c r="AL62" s="8"/>
    </row>
    <row r="63" spans="1:38" ht="29.25">
      <c r="A63" s="8"/>
      <c r="B63" s="36" t="s">
        <v>143</v>
      </c>
      <c r="C63" s="37" t="s">
        <v>98</v>
      </c>
      <c r="D63" s="38" t="s">
        <v>171</v>
      </c>
      <c r="E63" s="37" t="s">
        <v>108</v>
      </c>
      <c r="F63" s="39" t="s">
        <v>93</v>
      </c>
      <c r="G63" s="39">
        <v>3</v>
      </c>
      <c r="H63" s="40">
        <v>45170</v>
      </c>
      <c r="I63" s="36"/>
      <c r="J63" s="37"/>
      <c r="K63" s="38"/>
      <c r="L63" s="37"/>
      <c r="M63" s="39"/>
      <c r="N63" s="39"/>
      <c r="O63" s="40"/>
      <c r="P63" s="36"/>
      <c r="Q63" s="37"/>
      <c r="R63" s="38"/>
      <c r="S63" s="37"/>
      <c r="T63" s="39"/>
      <c r="U63" s="39"/>
      <c r="V63" s="40"/>
      <c r="W63" s="36" t="s">
        <v>116</v>
      </c>
      <c r="X63" s="37" t="s">
        <v>110</v>
      </c>
      <c r="Y63" s="38" t="s">
        <v>164</v>
      </c>
      <c r="Z63" s="37" t="s">
        <v>108</v>
      </c>
      <c r="AA63" s="39" t="s">
        <v>93</v>
      </c>
      <c r="AB63" s="39">
        <v>2</v>
      </c>
      <c r="AC63" s="40">
        <v>45174</v>
      </c>
      <c r="AD63" s="36"/>
      <c r="AE63" s="37"/>
      <c r="AF63" s="38"/>
      <c r="AG63" s="37"/>
      <c r="AH63" s="39"/>
      <c r="AI63" s="39"/>
      <c r="AJ63" s="40"/>
      <c r="AK63" s="8"/>
      <c r="AL63" s="8"/>
    </row>
    <row r="64" spans="1:38" ht="29.25">
      <c r="A64" s="8"/>
      <c r="B64" s="36" t="s">
        <v>119</v>
      </c>
      <c r="C64" s="37" t="s">
        <v>95</v>
      </c>
      <c r="D64" s="38" t="s">
        <v>172</v>
      </c>
      <c r="E64" s="37" t="s">
        <v>108</v>
      </c>
      <c r="F64" s="39" t="s">
        <v>97</v>
      </c>
      <c r="G64" s="39">
        <v>1</v>
      </c>
      <c r="H64" s="40">
        <v>45166</v>
      </c>
      <c r="I64" s="36"/>
      <c r="J64" s="37"/>
      <c r="K64" s="38"/>
      <c r="L64" s="37"/>
      <c r="M64" s="39"/>
      <c r="N64" s="39"/>
      <c r="O64" s="40"/>
      <c r="P64" s="36"/>
      <c r="Q64" s="37"/>
      <c r="R64" s="38"/>
      <c r="S64" s="37"/>
      <c r="T64" s="39"/>
      <c r="U64" s="39"/>
      <c r="V64" s="40"/>
      <c r="W64" s="36" t="s">
        <v>94</v>
      </c>
      <c r="X64" s="37" t="s">
        <v>98</v>
      </c>
      <c r="Y64" s="38" t="s">
        <v>167</v>
      </c>
      <c r="Z64" s="37" t="s">
        <v>108</v>
      </c>
      <c r="AA64" s="39" t="s">
        <v>97</v>
      </c>
      <c r="AB64" s="39">
        <v>1.5</v>
      </c>
      <c r="AC64" s="40">
        <v>45170</v>
      </c>
      <c r="AD64" s="36"/>
      <c r="AE64" s="37"/>
      <c r="AF64" s="38"/>
      <c r="AG64" s="37"/>
      <c r="AH64" s="39"/>
      <c r="AI64" s="39"/>
      <c r="AJ64" s="40"/>
      <c r="AK64" s="8"/>
      <c r="AL64" s="8"/>
    </row>
    <row r="65" spans="1:38">
      <c r="A65" s="8"/>
      <c r="B65" s="36"/>
      <c r="C65" s="37"/>
      <c r="D65" s="38"/>
      <c r="E65" s="37"/>
      <c r="F65" s="39"/>
      <c r="G65" s="39"/>
      <c r="H65" s="40"/>
      <c r="I65" s="36"/>
      <c r="J65" s="37"/>
      <c r="K65" s="38"/>
      <c r="L65" s="37"/>
      <c r="M65" s="39"/>
      <c r="N65" s="39"/>
      <c r="O65" s="40"/>
      <c r="P65" s="36"/>
      <c r="Q65" s="37"/>
      <c r="R65" s="38"/>
      <c r="S65" s="37"/>
      <c r="T65" s="39"/>
      <c r="U65" s="39"/>
      <c r="V65" s="40"/>
      <c r="W65" s="36"/>
      <c r="X65" s="37"/>
      <c r="Y65" s="38"/>
      <c r="Z65" s="37"/>
      <c r="AA65" s="39"/>
      <c r="AB65" s="39"/>
      <c r="AC65" s="40"/>
      <c r="AD65" s="36"/>
      <c r="AE65" s="37"/>
      <c r="AF65" s="38"/>
      <c r="AG65" s="37"/>
      <c r="AH65" s="39"/>
      <c r="AI65" s="39"/>
      <c r="AJ65" s="40"/>
      <c r="AK65" s="8"/>
      <c r="AL65" s="8"/>
    </row>
    <row r="66" spans="1:38">
      <c r="A66" s="8"/>
      <c r="B66" s="36"/>
      <c r="C66" s="37"/>
      <c r="D66" s="38"/>
      <c r="E66" s="37"/>
      <c r="F66" s="39"/>
      <c r="G66" s="39"/>
      <c r="H66" s="40"/>
      <c r="I66" s="36"/>
      <c r="J66" s="37"/>
      <c r="K66" s="38"/>
      <c r="L66" s="37"/>
      <c r="M66" s="39"/>
      <c r="N66" s="39"/>
      <c r="O66" s="40"/>
      <c r="P66" s="36"/>
      <c r="Q66" s="37"/>
      <c r="R66" s="38"/>
      <c r="S66" s="37"/>
      <c r="T66" s="39"/>
      <c r="U66" s="39"/>
      <c r="V66" s="40"/>
      <c r="W66" s="36"/>
      <c r="X66" s="37"/>
      <c r="Y66" s="38"/>
      <c r="Z66" s="37"/>
      <c r="AA66" s="39"/>
      <c r="AB66" s="39"/>
      <c r="AC66" s="40"/>
      <c r="AD66" s="36"/>
      <c r="AE66" s="37"/>
      <c r="AF66" s="38"/>
      <c r="AG66" s="37"/>
      <c r="AH66" s="39"/>
      <c r="AI66" s="39"/>
      <c r="AJ66" s="40"/>
      <c r="AK66" s="8"/>
      <c r="AL66" s="8"/>
    </row>
    <row r="67" spans="1:38" ht="18.75" thickBot="1">
      <c r="A67" s="8"/>
      <c r="B67" s="41"/>
      <c r="C67" s="42"/>
      <c r="D67" s="43"/>
      <c r="E67" s="42"/>
      <c r="F67" s="44"/>
      <c r="G67" s="44"/>
      <c r="H67" s="45"/>
      <c r="I67" s="41"/>
      <c r="J67" s="42"/>
      <c r="K67" s="43"/>
      <c r="L67" s="42"/>
      <c r="M67" s="44"/>
      <c r="N67" s="44"/>
      <c r="O67" s="45"/>
      <c r="P67" s="41"/>
      <c r="Q67" s="42"/>
      <c r="R67" s="43"/>
      <c r="S67" s="42"/>
      <c r="T67" s="44"/>
      <c r="U67" s="44"/>
      <c r="V67" s="45"/>
      <c r="W67" s="41"/>
      <c r="X67" s="42"/>
      <c r="Y67" s="43"/>
      <c r="Z67" s="42"/>
      <c r="AA67" s="44"/>
      <c r="AB67" s="44"/>
      <c r="AC67" s="45"/>
      <c r="AD67" s="41"/>
      <c r="AE67" s="42"/>
      <c r="AF67" s="43"/>
      <c r="AG67" s="42"/>
      <c r="AH67" s="44"/>
      <c r="AI67" s="44"/>
      <c r="AJ67" s="45"/>
      <c r="AK67" s="8"/>
      <c r="AL67" s="8"/>
    </row>
    <row r="68" spans="1:38">
      <c r="A68" s="8"/>
      <c r="B68" s="146" t="s">
        <v>88</v>
      </c>
      <c r="C68" s="147"/>
      <c r="D68" s="147"/>
      <c r="E68" s="147"/>
      <c r="F68" s="147"/>
      <c r="G68" s="147"/>
      <c r="H68" s="30">
        <v>45173</v>
      </c>
      <c r="I68" s="146" t="s">
        <v>88</v>
      </c>
      <c r="J68" s="147"/>
      <c r="K68" s="147"/>
      <c r="L68" s="147"/>
      <c r="M68" s="147"/>
      <c r="N68" s="147"/>
      <c r="O68" s="30">
        <v>45174</v>
      </c>
      <c r="P68" s="146" t="s">
        <v>88</v>
      </c>
      <c r="Q68" s="147"/>
      <c r="R68" s="147"/>
      <c r="S68" s="147"/>
      <c r="T68" s="147"/>
      <c r="U68" s="147"/>
      <c r="V68" s="30">
        <v>45175</v>
      </c>
      <c r="W68" s="146" t="s">
        <v>88</v>
      </c>
      <c r="X68" s="147"/>
      <c r="Y68" s="147"/>
      <c r="Z68" s="147"/>
      <c r="AA68" s="147"/>
      <c r="AB68" s="147"/>
      <c r="AC68" s="30">
        <v>45176</v>
      </c>
      <c r="AD68" s="146" t="s">
        <v>88</v>
      </c>
      <c r="AE68" s="147"/>
      <c r="AF68" s="147"/>
      <c r="AG68" s="147"/>
      <c r="AH68" s="147"/>
      <c r="AI68" s="147"/>
      <c r="AJ68" s="30">
        <v>45177</v>
      </c>
      <c r="AK68" s="8"/>
      <c r="AL68" s="8"/>
    </row>
    <row r="69" spans="1:38">
      <c r="A69" s="8"/>
      <c r="B69" s="36"/>
      <c r="C69" s="37"/>
      <c r="D69" s="38"/>
      <c r="E69" s="37" t="s">
        <v>89</v>
      </c>
      <c r="F69" s="39"/>
      <c r="G69" s="39"/>
      <c r="H69" s="40"/>
      <c r="I69" s="36"/>
      <c r="J69" s="37"/>
      <c r="K69" s="38"/>
      <c r="L69" s="37" t="s">
        <v>89</v>
      </c>
      <c r="M69" s="39"/>
      <c r="N69" s="39"/>
      <c r="O69" s="40"/>
      <c r="P69" s="36"/>
      <c r="Q69" s="37"/>
      <c r="R69" s="38"/>
      <c r="S69" s="37" t="s">
        <v>89</v>
      </c>
      <c r="T69" s="39"/>
      <c r="U69" s="39"/>
      <c r="V69" s="40"/>
      <c r="W69" s="36"/>
      <c r="X69" s="37"/>
      <c r="Y69" s="38"/>
      <c r="Z69" s="37" t="s">
        <v>89</v>
      </c>
      <c r="AA69" s="39"/>
      <c r="AB69" s="39"/>
      <c r="AC69" s="40"/>
      <c r="AD69" s="36"/>
      <c r="AE69" s="37"/>
      <c r="AF69" s="38"/>
      <c r="AG69" s="37" t="s">
        <v>89</v>
      </c>
      <c r="AH69" s="39"/>
      <c r="AI69" s="39"/>
      <c r="AJ69" s="40"/>
      <c r="AK69" s="8"/>
      <c r="AL69" s="8"/>
    </row>
    <row r="70" spans="1:38">
      <c r="A70" s="8"/>
      <c r="B70" s="36"/>
      <c r="C70" s="37"/>
      <c r="D70" s="38"/>
      <c r="E70" s="37"/>
      <c r="F70" s="39"/>
      <c r="G70" s="39"/>
      <c r="H70" s="40"/>
      <c r="I70" s="36"/>
      <c r="J70" s="37"/>
      <c r="K70" s="38"/>
      <c r="L70" s="37"/>
      <c r="M70" s="39"/>
      <c r="N70" s="39"/>
      <c r="O70" s="40"/>
      <c r="P70" s="36"/>
      <c r="Q70" s="37"/>
      <c r="R70" s="38"/>
      <c r="S70" s="37"/>
      <c r="T70" s="39"/>
      <c r="U70" s="39"/>
      <c r="V70" s="40"/>
      <c r="W70" s="36"/>
      <c r="X70" s="37"/>
      <c r="Y70" s="38"/>
      <c r="Z70" s="37"/>
      <c r="AA70" s="39"/>
      <c r="AB70" s="39"/>
      <c r="AC70" s="40"/>
      <c r="AD70" s="36"/>
      <c r="AE70" s="37"/>
      <c r="AF70" s="38"/>
      <c r="AG70" s="37"/>
      <c r="AH70" s="39"/>
      <c r="AI70" s="39"/>
      <c r="AJ70" s="40"/>
      <c r="AK70" s="8"/>
      <c r="AL70" s="8"/>
    </row>
    <row r="71" spans="1:38">
      <c r="A71" s="8"/>
      <c r="B71" s="36"/>
      <c r="C71" s="37"/>
      <c r="D71" s="38"/>
      <c r="E71" s="37"/>
      <c r="F71" s="39"/>
      <c r="G71" s="39"/>
      <c r="H71" s="40"/>
      <c r="I71" s="36"/>
      <c r="J71" s="37"/>
      <c r="K71" s="38"/>
      <c r="L71" s="37"/>
      <c r="M71" s="39"/>
      <c r="N71" s="39"/>
      <c r="O71" s="40"/>
      <c r="P71" s="36"/>
      <c r="Q71" s="37"/>
      <c r="R71" s="38"/>
      <c r="S71" s="37"/>
      <c r="T71" s="39"/>
      <c r="U71" s="39"/>
      <c r="V71" s="40"/>
      <c r="W71" s="36"/>
      <c r="X71" s="37"/>
      <c r="Y71" s="38"/>
      <c r="Z71" s="37"/>
      <c r="AA71" s="39"/>
      <c r="AB71" s="39"/>
      <c r="AC71" s="40"/>
      <c r="AD71" s="36"/>
      <c r="AE71" s="37"/>
      <c r="AF71" s="38"/>
      <c r="AG71" s="37"/>
      <c r="AH71" s="39"/>
      <c r="AI71" s="39"/>
      <c r="AJ71" s="40"/>
      <c r="AK71" s="8"/>
      <c r="AL71" s="8"/>
    </row>
    <row r="72" spans="1:38">
      <c r="A72" s="8"/>
      <c r="B72" s="36"/>
      <c r="C72" s="37"/>
      <c r="D72" s="38"/>
      <c r="E72" s="37"/>
      <c r="F72" s="39"/>
      <c r="G72" s="39"/>
      <c r="H72" s="40"/>
      <c r="I72" s="36"/>
      <c r="J72" s="37"/>
      <c r="K72" s="38"/>
      <c r="L72" s="37"/>
      <c r="M72" s="39"/>
      <c r="N72" s="39"/>
      <c r="O72" s="40"/>
      <c r="P72" s="36"/>
      <c r="Q72" s="37"/>
      <c r="R72" s="38"/>
      <c r="S72" s="37"/>
      <c r="T72" s="39"/>
      <c r="U72" s="39"/>
      <c r="V72" s="40"/>
      <c r="W72" s="36"/>
      <c r="X72" s="37"/>
      <c r="Y72" s="38"/>
      <c r="Z72" s="37"/>
      <c r="AA72" s="39"/>
      <c r="AB72" s="39"/>
      <c r="AC72" s="40"/>
      <c r="AD72" s="36"/>
      <c r="AE72" s="37"/>
      <c r="AF72" s="38"/>
      <c r="AG72" s="37"/>
      <c r="AH72" s="39"/>
      <c r="AI72" s="39"/>
      <c r="AJ72" s="40"/>
      <c r="AK72" s="8"/>
      <c r="AL72" s="8"/>
    </row>
    <row r="73" spans="1:38">
      <c r="A73" s="8"/>
      <c r="B73" s="36"/>
      <c r="C73" s="37"/>
      <c r="D73" s="38"/>
      <c r="E73" s="37"/>
      <c r="F73" s="39"/>
      <c r="G73" s="39"/>
      <c r="H73" s="40"/>
      <c r="I73" s="36"/>
      <c r="J73" s="37"/>
      <c r="K73" s="38"/>
      <c r="L73" s="37"/>
      <c r="M73" s="39"/>
      <c r="N73" s="39"/>
      <c r="O73" s="40"/>
      <c r="P73" s="36"/>
      <c r="Q73" s="37"/>
      <c r="R73" s="38"/>
      <c r="S73" s="37"/>
      <c r="T73" s="39"/>
      <c r="U73" s="39"/>
      <c r="V73" s="40"/>
      <c r="W73" s="36"/>
      <c r="X73" s="37"/>
      <c r="Y73" s="38"/>
      <c r="Z73" s="37"/>
      <c r="AA73" s="39"/>
      <c r="AB73" s="39"/>
      <c r="AC73" s="40"/>
      <c r="AD73" s="36"/>
      <c r="AE73" s="37"/>
      <c r="AF73" s="38"/>
      <c r="AG73" s="37"/>
      <c r="AH73" s="39"/>
      <c r="AI73" s="39"/>
      <c r="AJ73" s="40"/>
      <c r="AK73" s="8"/>
      <c r="AL73" s="8"/>
    </row>
    <row r="74" spans="1:38">
      <c r="A74" s="8"/>
      <c r="B74" s="36"/>
      <c r="C74" s="37"/>
      <c r="D74" s="38"/>
      <c r="E74" s="37" t="s">
        <v>108</v>
      </c>
      <c r="F74" s="39"/>
      <c r="G74" s="39"/>
      <c r="H74" s="40"/>
      <c r="I74" s="36"/>
      <c r="J74" s="37"/>
      <c r="K74" s="38"/>
      <c r="L74" s="37" t="s">
        <v>108</v>
      </c>
      <c r="M74" s="39"/>
      <c r="N74" s="39"/>
      <c r="O74" s="40"/>
      <c r="P74" s="36"/>
      <c r="Q74" s="37"/>
      <c r="R74" s="38"/>
      <c r="S74" s="37" t="s">
        <v>108</v>
      </c>
      <c r="T74" s="39"/>
      <c r="U74" s="39"/>
      <c r="V74" s="40"/>
      <c r="W74" s="36"/>
      <c r="X74" s="37"/>
      <c r="Y74" s="38"/>
      <c r="Z74" s="37" t="s">
        <v>108</v>
      </c>
      <c r="AA74" s="39"/>
      <c r="AB74" s="39"/>
      <c r="AC74" s="40"/>
      <c r="AD74" s="36"/>
      <c r="AE74" s="37"/>
      <c r="AF74" s="38"/>
      <c r="AG74" s="37" t="s">
        <v>108</v>
      </c>
      <c r="AH74" s="39"/>
      <c r="AI74" s="39"/>
      <c r="AJ74" s="40"/>
      <c r="AK74" s="8"/>
      <c r="AL74" s="8"/>
    </row>
    <row r="75" spans="1:38">
      <c r="A75" s="8"/>
      <c r="B75" s="36"/>
      <c r="C75" s="37"/>
      <c r="D75" s="38"/>
      <c r="E75" s="37"/>
      <c r="F75" s="39"/>
      <c r="G75" s="39"/>
      <c r="H75" s="40"/>
      <c r="I75" s="36"/>
      <c r="J75" s="37"/>
      <c r="K75" s="38"/>
      <c r="L75" s="37"/>
      <c r="M75" s="39"/>
      <c r="N75" s="39"/>
      <c r="O75" s="40"/>
      <c r="P75" s="36"/>
      <c r="Q75" s="37"/>
      <c r="R75" s="38"/>
      <c r="S75" s="37"/>
      <c r="T75" s="39"/>
      <c r="U75" s="39"/>
      <c r="V75" s="40"/>
      <c r="W75" s="36"/>
      <c r="X75" s="37"/>
      <c r="Y75" s="38"/>
      <c r="Z75" s="37"/>
      <c r="AA75" s="39"/>
      <c r="AB75" s="39"/>
      <c r="AC75" s="40"/>
      <c r="AD75" s="36"/>
      <c r="AE75" s="37"/>
      <c r="AF75" s="38"/>
      <c r="AG75" s="37"/>
      <c r="AH75" s="39"/>
      <c r="AI75" s="39"/>
      <c r="AJ75" s="40"/>
      <c r="AK75" s="8"/>
      <c r="AL75" s="8"/>
    </row>
    <row r="76" spans="1:38">
      <c r="A76" s="8"/>
      <c r="B76" s="36"/>
      <c r="C76" s="37"/>
      <c r="D76" s="38"/>
      <c r="E76" s="37"/>
      <c r="F76" s="39"/>
      <c r="G76" s="39"/>
      <c r="H76" s="40"/>
      <c r="I76" s="36"/>
      <c r="J76" s="37"/>
      <c r="K76" s="38"/>
      <c r="L76" s="37"/>
      <c r="M76" s="39"/>
      <c r="N76" s="39"/>
      <c r="O76" s="40"/>
      <c r="P76" s="36"/>
      <c r="Q76" s="37"/>
      <c r="R76" s="38"/>
      <c r="S76" s="37"/>
      <c r="T76" s="39"/>
      <c r="U76" s="39"/>
      <c r="V76" s="40"/>
      <c r="W76" s="36"/>
      <c r="X76" s="37"/>
      <c r="Y76" s="38"/>
      <c r="Z76" s="37"/>
      <c r="AA76" s="39"/>
      <c r="AB76" s="39"/>
      <c r="AC76" s="40"/>
      <c r="AD76" s="36"/>
      <c r="AE76" s="37"/>
      <c r="AF76" s="38"/>
      <c r="AG76" s="37"/>
      <c r="AH76" s="39"/>
      <c r="AI76" s="39"/>
      <c r="AJ76" s="40"/>
      <c r="AK76" s="8"/>
      <c r="AL76" s="8"/>
    </row>
    <row r="77" spans="1:38">
      <c r="A77" s="8"/>
      <c r="B77" s="36"/>
      <c r="C77" s="37"/>
      <c r="D77" s="38"/>
      <c r="E77" s="37"/>
      <c r="F77" s="39"/>
      <c r="G77" s="39"/>
      <c r="H77" s="40"/>
      <c r="I77" s="36"/>
      <c r="J77" s="37"/>
      <c r="K77" s="38"/>
      <c r="L77" s="37"/>
      <c r="M77" s="39"/>
      <c r="N77" s="39"/>
      <c r="O77" s="40"/>
      <c r="P77" s="36"/>
      <c r="Q77" s="37"/>
      <c r="R77" s="38"/>
      <c r="S77" s="37"/>
      <c r="T77" s="39"/>
      <c r="U77" s="39"/>
      <c r="V77" s="40"/>
      <c r="W77" s="36"/>
      <c r="X77" s="37"/>
      <c r="Y77" s="38"/>
      <c r="Z77" s="37"/>
      <c r="AA77" s="39"/>
      <c r="AB77" s="39"/>
      <c r="AC77" s="40"/>
      <c r="AD77" s="36"/>
      <c r="AE77" s="37"/>
      <c r="AF77" s="38"/>
      <c r="AG77" s="37"/>
      <c r="AH77" s="39"/>
      <c r="AI77" s="39"/>
      <c r="AJ77" s="40"/>
      <c r="AK77" s="8"/>
      <c r="AL77" s="8"/>
    </row>
    <row r="78" spans="1:38">
      <c r="A78" s="8"/>
      <c r="B78" s="36"/>
      <c r="C78" s="37"/>
      <c r="D78" s="38"/>
      <c r="E78" s="37"/>
      <c r="F78" s="39"/>
      <c r="G78" s="39"/>
      <c r="H78" s="40"/>
      <c r="I78" s="36"/>
      <c r="J78" s="37"/>
      <c r="K78" s="38"/>
      <c r="L78" s="37"/>
      <c r="M78" s="39"/>
      <c r="N78" s="39"/>
      <c r="O78" s="40"/>
      <c r="P78" s="36"/>
      <c r="Q78" s="37"/>
      <c r="R78" s="38"/>
      <c r="S78" s="37"/>
      <c r="T78" s="39"/>
      <c r="U78" s="39"/>
      <c r="V78" s="40"/>
      <c r="W78" s="36"/>
      <c r="X78" s="37"/>
      <c r="Y78" s="38"/>
      <c r="Z78" s="37"/>
      <c r="AA78" s="39"/>
      <c r="AB78" s="39"/>
      <c r="AC78" s="40"/>
      <c r="AD78" s="36"/>
      <c r="AE78" s="37"/>
      <c r="AF78" s="38"/>
      <c r="AG78" s="37"/>
      <c r="AH78" s="39"/>
      <c r="AI78" s="39"/>
      <c r="AJ78" s="40"/>
      <c r="AK78" s="8"/>
      <c r="AL78" s="8"/>
    </row>
    <row r="79" spans="1:38" ht="18.75" thickBot="1">
      <c r="A79" s="8"/>
      <c r="B79" s="41"/>
      <c r="C79" s="42"/>
      <c r="D79" s="43"/>
      <c r="E79" s="42"/>
      <c r="F79" s="44"/>
      <c r="G79" s="44"/>
      <c r="H79" s="45"/>
      <c r="I79" s="41"/>
      <c r="J79" s="42"/>
      <c r="K79" s="43"/>
      <c r="L79" s="42"/>
      <c r="M79" s="44"/>
      <c r="N79" s="44"/>
      <c r="O79" s="45"/>
      <c r="P79" s="41"/>
      <c r="Q79" s="42"/>
      <c r="R79" s="43"/>
      <c r="S79" s="42"/>
      <c r="T79" s="44"/>
      <c r="U79" s="44"/>
      <c r="V79" s="45"/>
      <c r="W79" s="41"/>
      <c r="X79" s="42"/>
      <c r="Y79" s="43"/>
      <c r="Z79" s="42"/>
      <c r="AA79" s="44"/>
      <c r="AB79" s="44"/>
      <c r="AC79" s="45"/>
      <c r="AD79" s="41"/>
      <c r="AE79" s="42"/>
      <c r="AF79" s="43"/>
      <c r="AG79" s="42"/>
      <c r="AH79" s="44"/>
      <c r="AI79" s="44"/>
      <c r="AJ79" s="45"/>
      <c r="AK79" s="8"/>
      <c r="AL79" s="8"/>
    </row>
    <row r="80" spans="1:38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</row>
    <row r="81" spans="1:38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</row>
    <row r="82" spans="1:38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</row>
    <row r="83" spans="1:38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</row>
  </sheetData>
  <mergeCells count="41">
    <mergeCell ref="B1:D1"/>
    <mergeCell ref="AM1:AO1"/>
    <mergeCell ref="B2:H2"/>
    <mergeCell ref="I2:O2"/>
    <mergeCell ref="P2:V2"/>
    <mergeCell ref="W2:AC2"/>
    <mergeCell ref="AD2:AJ2"/>
    <mergeCell ref="AM2:AM3"/>
    <mergeCell ref="AN2:AN3"/>
    <mergeCell ref="AM5:AM6"/>
    <mergeCell ref="AN5:AN6"/>
    <mergeCell ref="B8:G8"/>
    <mergeCell ref="I8:N8"/>
    <mergeCell ref="P8:U8"/>
    <mergeCell ref="W8:AB8"/>
    <mergeCell ref="AD8:AI8"/>
    <mergeCell ref="B32:G32"/>
    <mergeCell ref="I32:N32"/>
    <mergeCell ref="P32:U32"/>
    <mergeCell ref="W32:AB32"/>
    <mergeCell ref="AD32:AI32"/>
    <mergeCell ref="B20:G20"/>
    <mergeCell ref="I20:N20"/>
    <mergeCell ref="P20:U20"/>
    <mergeCell ref="W20:AB20"/>
    <mergeCell ref="AD20:AI20"/>
    <mergeCell ref="B56:G56"/>
    <mergeCell ref="I56:N56"/>
    <mergeCell ref="P56:U56"/>
    <mergeCell ref="W56:AB56"/>
    <mergeCell ref="AD56:AI56"/>
    <mergeCell ref="B44:G44"/>
    <mergeCell ref="I44:N44"/>
    <mergeCell ref="P44:U44"/>
    <mergeCell ref="W44:AB44"/>
    <mergeCell ref="AD44:AI44"/>
    <mergeCell ref="B68:G68"/>
    <mergeCell ref="I68:N68"/>
    <mergeCell ref="P68:U68"/>
    <mergeCell ref="W68:AB68"/>
    <mergeCell ref="AD68:AI68"/>
  </mergeCells>
  <conditionalFormatting sqref="C9:C19">
    <cfRule type="containsText" dxfId="2261" priority="897" operator="containsText" text="ONE">
      <formula>NOT(ISERROR(SEARCH("ONE",C9)))</formula>
    </cfRule>
    <cfRule type="containsText" dxfId="2260" priority="898" operator="containsText" text="GEM">
      <formula>NOT(ISERROR(SEARCH("GEM",C9)))</formula>
    </cfRule>
    <cfRule type="containsText" dxfId="2259" priority="899" operator="containsText" text="ANIMAX">
      <formula>NOT(ISERROR(SEARCH("ANIMAX",C9)))</formula>
    </cfRule>
    <cfRule type="containsText" dxfId="2258" priority="900" operator="containsText" text="AXN TW">
      <formula>NOT(ISERROR(SEARCH("AXN TW",C9)))</formula>
    </cfRule>
    <cfRule type="containsText" dxfId="2257" priority="901" operator="containsText" text="AXN">
      <formula>NOT(ISERROR(SEARCH("AXN",C9)))</formula>
    </cfRule>
  </conditionalFormatting>
  <conditionalFormatting sqref="E9:E19">
    <cfRule type="containsText" dxfId="2256" priority="894" stopIfTrue="1" operator="containsText" text="Master">
      <formula>NOT(ISERROR(SEARCH("Master",E9)))</formula>
    </cfRule>
    <cfRule type="containsText" dxfId="2255" priority="895" stopIfTrue="1" operator="containsText" text="Freelance Audio">
      <formula>NOT(ISERROR(SEARCH("Freelance Audio",E9)))</formula>
    </cfRule>
    <cfRule type="containsText" dxfId="2254" priority="896" stopIfTrue="1" operator="containsText" text="Audio">
      <formula>NOT(ISERROR(SEARCH("Audio",E9)))</formula>
    </cfRule>
  </conditionalFormatting>
  <conditionalFormatting sqref="J9:J19">
    <cfRule type="containsText" dxfId="2253" priority="889" operator="containsText" text="ONE">
      <formula>NOT(ISERROR(SEARCH("ONE",J9)))</formula>
    </cfRule>
    <cfRule type="containsText" dxfId="2252" priority="890" operator="containsText" text="GEM">
      <formula>NOT(ISERROR(SEARCH("GEM",J9)))</formula>
    </cfRule>
    <cfRule type="containsText" dxfId="2251" priority="891" operator="containsText" text="ANIMAX">
      <formula>NOT(ISERROR(SEARCH("ANIMAX",J9)))</formula>
    </cfRule>
    <cfRule type="containsText" dxfId="2250" priority="892" operator="containsText" text="AXN TW">
      <formula>NOT(ISERROR(SEARCH("AXN TW",J9)))</formula>
    </cfRule>
    <cfRule type="containsText" dxfId="2249" priority="893" operator="containsText" text="AXN">
      <formula>NOT(ISERROR(SEARCH("AXN",J9)))</formula>
    </cfRule>
  </conditionalFormatting>
  <conditionalFormatting sqref="L9:L19">
    <cfRule type="containsText" dxfId="2248" priority="886" stopIfTrue="1" operator="containsText" text="Master">
      <formula>NOT(ISERROR(SEARCH("Master",L9)))</formula>
    </cfRule>
    <cfRule type="containsText" dxfId="2247" priority="887" stopIfTrue="1" operator="containsText" text="Freelance Audio">
      <formula>NOT(ISERROR(SEARCH("Freelance Audio",L9)))</formula>
    </cfRule>
    <cfRule type="containsText" dxfId="2246" priority="888" stopIfTrue="1" operator="containsText" text="Audio">
      <formula>NOT(ISERROR(SEARCH("Audio",L9)))</formula>
    </cfRule>
  </conditionalFormatting>
  <conditionalFormatting sqref="Q9:Q13 Q15:Q19">
    <cfRule type="containsText" dxfId="2245" priority="881" operator="containsText" text="ONE">
      <formula>NOT(ISERROR(SEARCH("ONE",Q9)))</formula>
    </cfRule>
    <cfRule type="containsText" dxfId="2244" priority="882" operator="containsText" text="GEM">
      <formula>NOT(ISERROR(SEARCH("GEM",Q9)))</formula>
    </cfRule>
    <cfRule type="containsText" dxfId="2243" priority="883" operator="containsText" text="ANIMAX">
      <formula>NOT(ISERROR(SEARCH("ANIMAX",Q9)))</formula>
    </cfRule>
    <cfRule type="containsText" dxfId="2242" priority="884" operator="containsText" text="AXN TW">
      <formula>NOT(ISERROR(SEARCH("AXN TW",Q9)))</formula>
    </cfRule>
    <cfRule type="containsText" dxfId="2241" priority="885" operator="containsText" text="AXN">
      <formula>NOT(ISERROR(SEARCH("AXN",Q9)))</formula>
    </cfRule>
  </conditionalFormatting>
  <conditionalFormatting sqref="S9:S19">
    <cfRule type="containsText" dxfId="2240" priority="878" stopIfTrue="1" operator="containsText" text="Master">
      <formula>NOT(ISERROR(SEARCH("Master",S9)))</formula>
    </cfRule>
    <cfRule type="containsText" dxfId="2239" priority="879" stopIfTrue="1" operator="containsText" text="Freelance Audio">
      <formula>NOT(ISERROR(SEARCH("Freelance Audio",S9)))</formula>
    </cfRule>
    <cfRule type="containsText" dxfId="2238" priority="880" stopIfTrue="1" operator="containsText" text="Audio">
      <formula>NOT(ISERROR(SEARCH("Audio",S9)))</formula>
    </cfRule>
  </conditionalFormatting>
  <conditionalFormatting sqref="X18:X19 X11:X16">
    <cfRule type="containsText" dxfId="2237" priority="873" operator="containsText" text="ONE">
      <formula>NOT(ISERROR(SEARCH("ONE",X11)))</formula>
    </cfRule>
    <cfRule type="containsText" dxfId="2236" priority="874" operator="containsText" text="GEM">
      <formula>NOT(ISERROR(SEARCH("GEM",X11)))</formula>
    </cfRule>
    <cfRule type="containsText" dxfId="2235" priority="875" operator="containsText" text="ANIMAX">
      <formula>NOT(ISERROR(SEARCH("ANIMAX",X11)))</formula>
    </cfRule>
    <cfRule type="containsText" dxfId="2234" priority="876" operator="containsText" text="AXN TW">
      <formula>NOT(ISERROR(SEARCH("AXN TW",X11)))</formula>
    </cfRule>
    <cfRule type="containsText" dxfId="2233" priority="877" operator="containsText" text="AXN">
      <formula>NOT(ISERROR(SEARCH("AXN",X11)))</formula>
    </cfRule>
  </conditionalFormatting>
  <conditionalFormatting sqref="Z11:Z16 Z18:Z19">
    <cfRule type="containsText" dxfId="2232" priority="870" stopIfTrue="1" operator="containsText" text="Master">
      <formula>NOT(ISERROR(SEARCH("Master",Z11)))</formula>
    </cfRule>
    <cfRule type="containsText" dxfId="2231" priority="871" stopIfTrue="1" operator="containsText" text="Freelance Audio">
      <formula>NOT(ISERROR(SEARCH("Freelance Audio",Z11)))</formula>
    </cfRule>
    <cfRule type="containsText" dxfId="2230" priority="872" stopIfTrue="1" operator="containsText" text="Audio">
      <formula>NOT(ISERROR(SEARCH("Audio",Z11)))</formula>
    </cfRule>
  </conditionalFormatting>
  <conditionalFormatting sqref="AE10:AE13 AE17:AE19">
    <cfRule type="containsText" dxfId="2229" priority="865" operator="containsText" text="ONE">
      <formula>NOT(ISERROR(SEARCH("ONE",AE10)))</formula>
    </cfRule>
    <cfRule type="containsText" dxfId="2228" priority="866" operator="containsText" text="GEM">
      <formula>NOT(ISERROR(SEARCH("GEM",AE10)))</formula>
    </cfRule>
    <cfRule type="containsText" dxfId="2227" priority="867" operator="containsText" text="ANIMAX">
      <formula>NOT(ISERROR(SEARCH("ANIMAX",AE10)))</formula>
    </cfRule>
    <cfRule type="containsText" dxfId="2226" priority="868" operator="containsText" text="AXN TW">
      <formula>NOT(ISERROR(SEARCH("AXN TW",AE10)))</formula>
    </cfRule>
    <cfRule type="containsText" dxfId="2225" priority="869" operator="containsText" text="AXN">
      <formula>NOT(ISERROR(SEARCH("AXN",AE10)))</formula>
    </cfRule>
  </conditionalFormatting>
  <conditionalFormatting sqref="AG10:AG13 AG17:AG19">
    <cfRule type="containsText" dxfId="2224" priority="862" stopIfTrue="1" operator="containsText" text="Master">
      <formula>NOT(ISERROR(SEARCH("Master",AG10)))</formula>
    </cfRule>
    <cfRule type="containsText" dxfId="2223" priority="863" stopIfTrue="1" operator="containsText" text="Freelance Audio">
      <formula>NOT(ISERROR(SEARCH("Freelance Audio",AG10)))</formula>
    </cfRule>
    <cfRule type="containsText" dxfId="2222" priority="864" stopIfTrue="1" operator="containsText" text="Audio">
      <formula>NOT(ISERROR(SEARCH("Audio",AG10)))</formula>
    </cfRule>
  </conditionalFormatting>
  <conditionalFormatting sqref="C21 C23:C25 C27:C31">
    <cfRule type="containsText" dxfId="2221" priority="857" operator="containsText" text="ONE">
      <formula>NOT(ISERROR(SEARCH("ONE",C21)))</formula>
    </cfRule>
    <cfRule type="containsText" dxfId="2220" priority="858" operator="containsText" text="GEM">
      <formula>NOT(ISERROR(SEARCH("GEM",C21)))</formula>
    </cfRule>
    <cfRule type="containsText" dxfId="2219" priority="859" operator="containsText" text="ANIMAX">
      <formula>NOT(ISERROR(SEARCH("ANIMAX",C21)))</formula>
    </cfRule>
    <cfRule type="containsText" dxfId="2218" priority="860" operator="containsText" text="AXN TW">
      <formula>NOT(ISERROR(SEARCH("AXN TW",C21)))</formula>
    </cfRule>
    <cfRule type="containsText" dxfId="2217" priority="861" operator="containsText" text="AXN">
      <formula>NOT(ISERROR(SEARCH("AXN",C21)))</formula>
    </cfRule>
  </conditionalFormatting>
  <conditionalFormatting sqref="E21 E23:E25 E27:E31">
    <cfRule type="containsText" dxfId="2216" priority="854" stopIfTrue="1" operator="containsText" text="Master">
      <formula>NOT(ISERROR(SEARCH("Master",E21)))</formula>
    </cfRule>
    <cfRule type="containsText" dxfId="2215" priority="855" stopIfTrue="1" operator="containsText" text="Freelance Audio">
      <formula>NOT(ISERROR(SEARCH("Freelance Audio",E21)))</formula>
    </cfRule>
    <cfRule type="containsText" dxfId="2214" priority="856" stopIfTrue="1" operator="containsText" text="Audio">
      <formula>NOT(ISERROR(SEARCH("Audio",E21)))</formula>
    </cfRule>
  </conditionalFormatting>
  <conditionalFormatting sqref="J21:J25 J28:J31">
    <cfRule type="containsText" dxfId="2213" priority="849" operator="containsText" text="ONE">
      <formula>NOT(ISERROR(SEARCH("ONE",J21)))</formula>
    </cfRule>
    <cfRule type="containsText" dxfId="2212" priority="850" operator="containsText" text="GEM">
      <formula>NOT(ISERROR(SEARCH("GEM",J21)))</formula>
    </cfRule>
    <cfRule type="containsText" dxfId="2211" priority="851" operator="containsText" text="ANIMAX">
      <formula>NOT(ISERROR(SEARCH("ANIMAX",J21)))</formula>
    </cfRule>
    <cfRule type="containsText" dxfId="2210" priority="852" operator="containsText" text="AXN TW">
      <formula>NOT(ISERROR(SEARCH("AXN TW",J21)))</formula>
    </cfRule>
    <cfRule type="containsText" dxfId="2209" priority="853" operator="containsText" text="AXN">
      <formula>NOT(ISERROR(SEARCH("AXN",J21)))</formula>
    </cfRule>
  </conditionalFormatting>
  <conditionalFormatting sqref="L21:L25 L28:L31">
    <cfRule type="containsText" dxfId="2208" priority="846" stopIfTrue="1" operator="containsText" text="Master">
      <formula>NOT(ISERROR(SEARCH("Master",L21)))</formula>
    </cfRule>
    <cfRule type="containsText" dxfId="2207" priority="847" stopIfTrue="1" operator="containsText" text="Freelance Audio">
      <formula>NOT(ISERROR(SEARCH("Freelance Audio",L21)))</formula>
    </cfRule>
    <cfRule type="containsText" dxfId="2206" priority="848" stopIfTrue="1" operator="containsText" text="Audio">
      <formula>NOT(ISERROR(SEARCH("Audio",L21)))</formula>
    </cfRule>
  </conditionalFormatting>
  <conditionalFormatting sqref="Q21:Q31">
    <cfRule type="containsText" dxfId="2205" priority="841" operator="containsText" text="ONE">
      <formula>NOT(ISERROR(SEARCH("ONE",Q21)))</formula>
    </cfRule>
    <cfRule type="containsText" dxfId="2204" priority="842" operator="containsText" text="GEM">
      <formula>NOT(ISERROR(SEARCH("GEM",Q21)))</formula>
    </cfRule>
    <cfRule type="containsText" dxfId="2203" priority="843" operator="containsText" text="ANIMAX">
      <formula>NOT(ISERROR(SEARCH("ANIMAX",Q21)))</formula>
    </cfRule>
    <cfRule type="containsText" dxfId="2202" priority="844" operator="containsText" text="AXN TW">
      <formula>NOT(ISERROR(SEARCH("AXN TW",Q21)))</formula>
    </cfRule>
    <cfRule type="containsText" dxfId="2201" priority="845" operator="containsText" text="AXN">
      <formula>NOT(ISERROR(SEARCH("AXN",Q21)))</formula>
    </cfRule>
  </conditionalFormatting>
  <conditionalFormatting sqref="S21:S31">
    <cfRule type="containsText" dxfId="2200" priority="838" stopIfTrue="1" operator="containsText" text="Master">
      <formula>NOT(ISERROR(SEARCH("Master",S21)))</formula>
    </cfRule>
    <cfRule type="containsText" dxfId="2199" priority="839" stopIfTrue="1" operator="containsText" text="Freelance Audio">
      <formula>NOT(ISERROR(SEARCH("Freelance Audio",S21)))</formula>
    </cfRule>
    <cfRule type="containsText" dxfId="2198" priority="840" stopIfTrue="1" operator="containsText" text="Audio">
      <formula>NOT(ISERROR(SEARCH("Audio",S21)))</formula>
    </cfRule>
  </conditionalFormatting>
  <conditionalFormatting sqref="X21:X25 X28:X31">
    <cfRule type="containsText" dxfId="2197" priority="833" operator="containsText" text="ONE">
      <formula>NOT(ISERROR(SEARCH("ONE",X21)))</formula>
    </cfRule>
    <cfRule type="containsText" dxfId="2196" priority="834" operator="containsText" text="GEM">
      <formula>NOT(ISERROR(SEARCH("GEM",X21)))</formula>
    </cfRule>
    <cfRule type="containsText" dxfId="2195" priority="835" operator="containsText" text="ANIMAX">
      <formula>NOT(ISERROR(SEARCH("ANIMAX",X21)))</formula>
    </cfRule>
    <cfRule type="containsText" dxfId="2194" priority="836" operator="containsText" text="AXN TW">
      <formula>NOT(ISERROR(SEARCH("AXN TW",X21)))</formula>
    </cfRule>
    <cfRule type="containsText" dxfId="2193" priority="837" operator="containsText" text="AXN">
      <formula>NOT(ISERROR(SEARCH("AXN",X21)))</formula>
    </cfRule>
  </conditionalFormatting>
  <conditionalFormatting sqref="Z21:Z25 Z28:Z31">
    <cfRule type="containsText" dxfId="2192" priority="830" stopIfTrue="1" operator="containsText" text="Master">
      <formula>NOT(ISERROR(SEARCH("Master",Z21)))</formula>
    </cfRule>
    <cfRule type="containsText" dxfId="2191" priority="831" stopIfTrue="1" operator="containsText" text="Freelance Audio">
      <formula>NOT(ISERROR(SEARCH("Freelance Audio",Z21)))</formula>
    </cfRule>
    <cfRule type="containsText" dxfId="2190" priority="832" stopIfTrue="1" operator="containsText" text="Audio">
      <formula>NOT(ISERROR(SEARCH("Audio",Z21)))</formula>
    </cfRule>
  </conditionalFormatting>
  <conditionalFormatting sqref="AE21:AE31">
    <cfRule type="containsText" dxfId="2189" priority="825" operator="containsText" text="ONE">
      <formula>NOT(ISERROR(SEARCH("ONE",AE21)))</formula>
    </cfRule>
    <cfRule type="containsText" dxfId="2188" priority="826" operator="containsText" text="GEM">
      <formula>NOT(ISERROR(SEARCH("GEM",AE21)))</formula>
    </cfRule>
    <cfRule type="containsText" dxfId="2187" priority="827" operator="containsText" text="ANIMAX">
      <formula>NOT(ISERROR(SEARCH("ANIMAX",AE21)))</formula>
    </cfRule>
    <cfRule type="containsText" dxfId="2186" priority="828" operator="containsText" text="AXN TW">
      <formula>NOT(ISERROR(SEARCH("AXN TW",AE21)))</formula>
    </cfRule>
    <cfRule type="containsText" dxfId="2185" priority="829" operator="containsText" text="AXN">
      <formula>NOT(ISERROR(SEARCH("AXN",AE21)))</formula>
    </cfRule>
  </conditionalFormatting>
  <conditionalFormatting sqref="AG21:AG31">
    <cfRule type="containsText" dxfId="2184" priority="822" stopIfTrue="1" operator="containsText" text="Master">
      <formula>NOT(ISERROR(SEARCH("Master",AG21)))</formula>
    </cfRule>
    <cfRule type="containsText" dxfId="2183" priority="823" stopIfTrue="1" operator="containsText" text="Freelance Audio">
      <formula>NOT(ISERROR(SEARCH("Freelance Audio",AG21)))</formula>
    </cfRule>
    <cfRule type="containsText" dxfId="2182" priority="824" stopIfTrue="1" operator="containsText" text="Audio">
      <formula>NOT(ISERROR(SEARCH("Audio",AG21)))</formula>
    </cfRule>
  </conditionalFormatting>
  <conditionalFormatting sqref="C34:C37 C39 C42:C43">
    <cfRule type="containsText" dxfId="2181" priority="817" operator="containsText" text="ONE">
      <formula>NOT(ISERROR(SEARCH("ONE",C34)))</formula>
    </cfRule>
    <cfRule type="containsText" dxfId="2180" priority="818" operator="containsText" text="GEM">
      <formula>NOT(ISERROR(SEARCH("GEM",C34)))</formula>
    </cfRule>
    <cfRule type="containsText" dxfId="2179" priority="819" operator="containsText" text="ANIMAX">
      <formula>NOT(ISERROR(SEARCH("ANIMAX",C34)))</formula>
    </cfRule>
    <cfRule type="containsText" dxfId="2178" priority="820" operator="containsText" text="AXN TW">
      <formula>NOT(ISERROR(SEARCH("AXN TW",C34)))</formula>
    </cfRule>
    <cfRule type="containsText" dxfId="2177" priority="821" operator="containsText" text="AXN">
      <formula>NOT(ISERROR(SEARCH("AXN",C34)))</formula>
    </cfRule>
  </conditionalFormatting>
  <conditionalFormatting sqref="E35:E37 E39:E43">
    <cfRule type="containsText" dxfId="2176" priority="814" stopIfTrue="1" operator="containsText" text="Master">
      <formula>NOT(ISERROR(SEARCH("Master",E35)))</formula>
    </cfRule>
    <cfRule type="containsText" dxfId="2175" priority="815" stopIfTrue="1" operator="containsText" text="Freelance Audio">
      <formula>NOT(ISERROR(SEARCH("Freelance Audio",E35)))</formula>
    </cfRule>
    <cfRule type="containsText" dxfId="2174" priority="816" stopIfTrue="1" operator="containsText" text="Audio">
      <formula>NOT(ISERROR(SEARCH("Audio",E35)))</formula>
    </cfRule>
  </conditionalFormatting>
  <conditionalFormatting sqref="J35:J37 J40 J42:J43">
    <cfRule type="containsText" dxfId="2173" priority="809" operator="containsText" text="ONE">
      <formula>NOT(ISERROR(SEARCH("ONE",J35)))</formula>
    </cfRule>
    <cfRule type="containsText" dxfId="2172" priority="810" operator="containsText" text="GEM">
      <formula>NOT(ISERROR(SEARCH("GEM",J35)))</formula>
    </cfRule>
    <cfRule type="containsText" dxfId="2171" priority="811" operator="containsText" text="ANIMAX">
      <formula>NOT(ISERROR(SEARCH("ANIMAX",J35)))</formula>
    </cfRule>
    <cfRule type="containsText" dxfId="2170" priority="812" operator="containsText" text="AXN TW">
      <formula>NOT(ISERROR(SEARCH("AXN TW",J35)))</formula>
    </cfRule>
    <cfRule type="containsText" dxfId="2169" priority="813" operator="containsText" text="AXN">
      <formula>NOT(ISERROR(SEARCH("AXN",J35)))</formula>
    </cfRule>
  </conditionalFormatting>
  <conditionalFormatting sqref="L35:L37 L42:L43">
    <cfRule type="containsText" dxfId="2168" priority="806" stopIfTrue="1" operator="containsText" text="Master">
      <formula>NOT(ISERROR(SEARCH("Master",L35)))</formula>
    </cfRule>
    <cfRule type="containsText" dxfId="2167" priority="807" stopIfTrue="1" operator="containsText" text="Freelance Audio">
      <formula>NOT(ISERROR(SEARCH("Freelance Audio",L35)))</formula>
    </cfRule>
    <cfRule type="containsText" dxfId="2166" priority="808" stopIfTrue="1" operator="containsText" text="Audio">
      <formula>NOT(ISERROR(SEARCH("Audio",L35)))</formula>
    </cfRule>
  </conditionalFormatting>
  <conditionalFormatting sqref="Q37:Q43">
    <cfRule type="containsText" dxfId="2165" priority="801" operator="containsText" text="ONE">
      <formula>NOT(ISERROR(SEARCH("ONE",Q37)))</formula>
    </cfRule>
    <cfRule type="containsText" dxfId="2164" priority="802" operator="containsText" text="GEM">
      <formula>NOT(ISERROR(SEARCH("GEM",Q37)))</formula>
    </cfRule>
    <cfRule type="containsText" dxfId="2163" priority="803" operator="containsText" text="ANIMAX">
      <formula>NOT(ISERROR(SEARCH("ANIMAX",Q37)))</formula>
    </cfRule>
    <cfRule type="containsText" dxfId="2162" priority="804" operator="containsText" text="AXN TW">
      <formula>NOT(ISERROR(SEARCH("AXN TW",Q37)))</formula>
    </cfRule>
    <cfRule type="containsText" dxfId="2161" priority="805" operator="containsText" text="AXN">
      <formula>NOT(ISERROR(SEARCH("AXN",Q37)))</formula>
    </cfRule>
  </conditionalFormatting>
  <conditionalFormatting sqref="S37:S43">
    <cfRule type="containsText" dxfId="2160" priority="798" stopIfTrue="1" operator="containsText" text="Master">
      <formula>NOT(ISERROR(SEARCH("Master",S37)))</formula>
    </cfRule>
    <cfRule type="containsText" dxfId="2159" priority="799" stopIfTrue="1" operator="containsText" text="Freelance Audio">
      <formula>NOT(ISERROR(SEARCH("Freelance Audio",S37)))</formula>
    </cfRule>
    <cfRule type="containsText" dxfId="2158" priority="800" stopIfTrue="1" operator="containsText" text="Audio">
      <formula>NOT(ISERROR(SEARCH("Audio",S37)))</formula>
    </cfRule>
  </conditionalFormatting>
  <conditionalFormatting sqref="X33:X37 X42:X43">
    <cfRule type="containsText" dxfId="2157" priority="793" operator="containsText" text="ONE">
      <formula>NOT(ISERROR(SEARCH("ONE",X33)))</formula>
    </cfRule>
    <cfRule type="containsText" dxfId="2156" priority="794" operator="containsText" text="GEM">
      <formula>NOT(ISERROR(SEARCH("GEM",X33)))</formula>
    </cfRule>
    <cfRule type="containsText" dxfId="2155" priority="795" operator="containsText" text="ANIMAX">
      <formula>NOT(ISERROR(SEARCH("ANIMAX",X33)))</formula>
    </cfRule>
    <cfRule type="containsText" dxfId="2154" priority="796" operator="containsText" text="AXN TW">
      <formula>NOT(ISERROR(SEARCH("AXN TW",X33)))</formula>
    </cfRule>
    <cfRule type="containsText" dxfId="2153" priority="797" operator="containsText" text="AXN">
      <formula>NOT(ISERROR(SEARCH("AXN",X33)))</formula>
    </cfRule>
  </conditionalFormatting>
  <conditionalFormatting sqref="Z33:Z37 Z42:Z43">
    <cfRule type="containsText" dxfId="2152" priority="790" stopIfTrue="1" operator="containsText" text="Master">
      <formula>NOT(ISERROR(SEARCH("Master",Z33)))</formula>
    </cfRule>
    <cfRule type="containsText" dxfId="2151" priority="791" stopIfTrue="1" operator="containsText" text="Freelance Audio">
      <formula>NOT(ISERROR(SEARCH("Freelance Audio",Z33)))</formula>
    </cfRule>
    <cfRule type="containsText" dxfId="2150" priority="792" stopIfTrue="1" operator="containsText" text="Audio">
      <formula>NOT(ISERROR(SEARCH("Audio",Z33)))</formula>
    </cfRule>
  </conditionalFormatting>
  <conditionalFormatting sqref="AE40:AE43 AE35:AE37">
    <cfRule type="containsText" dxfId="2149" priority="785" operator="containsText" text="ONE">
      <formula>NOT(ISERROR(SEARCH("ONE",AE35)))</formula>
    </cfRule>
    <cfRule type="containsText" dxfId="2148" priority="786" operator="containsText" text="GEM">
      <formula>NOT(ISERROR(SEARCH("GEM",AE35)))</formula>
    </cfRule>
    <cfRule type="containsText" dxfId="2147" priority="787" operator="containsText" text="ANIMAX">
      <formula>NOT(ISERROR(SEARCH("ANIMAX",AE35)))</formula>
    </cfRule>
    <cfRule type="containsText" dxfId="2146" priority="788" operator="containsText" text="AXN TW">
      <formula>NOT(ISERROR(SEARCH("AXN TW",AE35)))</formula>
    </cfRule>
    <cfRule type="containsText" dxfId="2145" priority="789" operator="containsText" text="AXN">
      <formula>NOT(ISERROR(SEARCH("AXN",AE35)))</formula>
    </cfRule>
  </conditionalFormatting>
  <conditionalFormatting sqref="AG40:AG43 AG35:AG37">
    <cfRule type="containsText" dxfId="2144" priority="782" stopIfTrue="1" operator="containsText" text="Master">
      <formula>NOT(ISERROR(SEARCH("Master",AG35)))</formula>
    </cfRule>
    <cfRule type="containsText" dxfId="2143" priority="783" stopIfTrue="1" operator="containsText" text="Freelance Audio">
      <formula>NOT(ISERROR(SEARCH("Freelance Audio",AG35)))</formula>
    </cfRule>
    <cfRule type="containsText" dxfId="2142" priority="784" stopIfTrue="1" operator="containsText" text="Audio">
      <formula>NOT(ISERROR(SEARCH("Audio",AG35)))</formula>
    </cfRule>
  </conditionalFormatting>
  <conditionalFormatting sqref="C45:C50 C52:C55">
    <cfRule type="containsText" dxfId="2141" priority="777" operator="containsText" text="ONE">
      <formula>NOT(ISERROR(SEARCH("ONE",C45)))</formula>
    </cfRule>
    <cfRule type="containsText" dxfId="2140" priority="778" operator="containsText" text="GEM">
      <formula>NOT(ISERROR(SEARCH("GEM",C45)))</formula>
    </cfRule>
    <cfRule type="containsText" dxfId="2139" priority="779" operator="containsText" text="ANIMAX">
      <formula>NOT(ISERROR(SEARCH("ANIMAX",C45)))</formula>
    </cfRule>
    <cfRule type="containsText" dxfId="2138" priority="780" operator="containsText" text="AXN TW">
      <formula>NOT(ISERROR(SEARCH("AXN TW",C45)))</formula>
    </cfRule>
    <cfRule type="containsText" dxfId="2137" priority="781" operator="containsText" text="AXN">
      <formula>NOT(ISERROR(SEARCH("AXN",C45)))</formula>
    </cfRule>
  </conditionalFormatting>
  <conditionalFormatting sqref="E45:E50 E52:E55">
    <cfRule type="containsText" dxfId="2136" priority="774" stopIfTrue="1" operator="containsText" text="Master">
      <formula>NOT(ISERROR(SEARCH("Master",E45)))</formula>
    </cfRule>
    <cfRule type="containsText" dxfId="2135" priority="775" stopIfTrue="1" operator="containsText" text="Freelance Audio">
      <formula>NOT(ISERROR(SEARCH("Freelance Audio",E45)))</formula>
    </cfRule>
    <cfRule type="containsText" dxfId="2134" priority="776" stopIfTrue="1" operator="containsText" text="Audio">
      <formula>NOT(ISERROR(SEARCH("Audio",E45)))</formula>
    </cfRule>
  </conditionalFormatting>
  <conditionalFormatting sqref="J47:J50 J53:J55">
    <cfRule type="containsText" dxfId="2133" priority="769" operator="containsText" text="ONE">
      <formula>NOT(ISERROR(SEARCH("ONE",J47)))</formula>
    </cfRule>
    <cfRule type="containsText" dxfId="2132" priority="770" operator="containsText" text="GEM">
      <formula>NOT(ISERROR(SEARCH("GEM",J47)))</formula>
    </cfRule>
    <cfRule type="containsText" dxfId="2131" priority="771" operator="containsText" text="ANIMAX">
      <formula>NOT(ISERROR(SEARCH("ANIMAX",J47)))</formula>
    </cfRule>
    <cfRule type="containsText" dxfId="2130" priority="772" operator="containsText" text="AXN TW">
      <formula>NOT(ISERROR(SEARCH("AXN TW",J47)))</formula>
    </cfRule>
    <cfRule type="containsText" dxfId="2129" priority="773" operator="containsText" text="AXN">
      <formula>NOT(ISERROR(SEARCH("AXN",J47)))</formula>
    </cfRule>
  </conditionalFormatting>
  <conditionalFormatting sqref="L47:L50 L52:L55">
    <cfRule type="containsText" dxfId="2128" priority="766" stopIfTrue="1" operator="containsText" text="Master">
      <formula>NOT(ISERROR(SEARCH("Master",L47)))</formula>
    </cfRule>
    <cfRule type="containsText" dxfId="2127" priority="767" stopIfTrue="1" operator="containsText" text="Freelance Audio">
      <formula>NOT(ISERROR(SEARCH("Freelance Audio",L47)))</formula>
    </cfRule>
    <cfRule type="containsText" dxfId="2126" priority="768" stopIfTrue="1" operator="containsText" text="Audio">
      <formula>NOT(ISERROR(SEARCH("Audio",L47)))</formula>
    </cfRule>
  </conditionalFormatting>
  <conditionalFormatting sqref="Q47:Q49 Q51:Q55">
    <cfRule type="containsText" dxfId="2125" priority="761" operator="containsText" text="ONE">
      <formula>NOT(ISERROR(SEARCH("ONE",Q47)))</formula>
    </cfRule>
    <cfRule type="containsText" dxfId="2124" priority="762" operator="containsText" text="GEM">
      <formula>NOT(ISERROR(SEARCH("GEM",Q47)))</formula>
    </cfRule>
    <cfRule type="containsText" dxfId="2123" priority="763" operator="containsText" text="ANIMAX">
      <formula>NOT(ISERROR(SEARCH("ANIMAX",Q47)))</formula>
    </cfRule>
    <cfRule type="containsText" dxfId="2122" priority="764" operator="containsText" text="AXN TW">
      <formula>NOT(ISERROR(SEARCH("AXN TW",Q47)))</formula>
    </cfRule>
    <cfRule type="containsText" dxfId="2121" priority="765" operator="containsText" text="AXN">
      <formula>NOT(ISERROR(SEARCH("AXN",Q47)))</formula>
    </cfRule>
  </conditionalFormatting>
  <conditionalFormatting sqref="S47:S49 S51:S55">
    <cfRule type="containsText" dxfId="2120" priority="758" stopIfTrue="1" operator="containsText" text="Master">
      <formula>NOT(ISERROR(SEARCH("Master",S47)))</formula>
    </cfRule>
    <cfRule type="containsText" dxfId="2119" priority="759" stopIfTrue="1" operator="containsText" text="Freelance Audio">
      <formula>NOT(ISERROR(SEARCH("Freelance Audio",S47)))</formula>
    </cfRule>
    <cfRule type="containsText" dxfId="2118" priority="760" stopIfTrue="1" operator="containsText" text="Audio">
      <formula>NOT(ISERROR(SEARCH("Audio",S47)))</formula>
    </cfRule>
  </conditionalFormatting>
  <conditionalFormatting sqref="X46:X49 X53:X55">
    <cfRule type="containsText" dxfId="2117" priority="753" operator="containsText" text="ONE">
      <formula>NOT(ISERROR(SEARCH("ONE",X46)))</formula>
    </cfRule>
    <cfRule type="containsText" dxfId="2116" priority="754" operator="containsText" text="GEM">
      <formula>NOT(ISERROR(SEARCH("GEM",X46)))</formula>
    </cfRule>
    <cfRule type="containsText" dxfId="2115" priority="755" operator="containsText" text="ANIMAX">
      <formula>NOT(ISERROR(SEARCH("ANIMAX",X46)))</formula>
    </cfRule>
    <cfRule type="containsText" dxfId="2114" priority="756" operator="containsText" text="AXN TW">
      <formula>NOT(ISERROR(SEARCH("AXN TW",X46)))</formula>
    </cfRule>
    <cfRule type="containsText" dxfId="2113" priority="757" operator="containsText" text="AXN">
      <formula>NOT(ISERROR(SEARCH("AXN",X46)))</formula>
    </cfRule>
  </conditionalFormatting>
  <conditionalFormatting sqref="Z46:Z49 Z53:Z55">
    <cfRule type="containsText" dxfId="2112" priority="750" stopIfTrue="1" operator="containsText" text="Master">
      <formula>NOT(ISERROR(SEARCH("Master",Z46)))</formula>
    </cfRule>
    <cfRule type="containsText" dxfId="2111" priority="751" stopIfTrue="1" operator="containsText" text="Freelance Audio">
      <formula>NOT(ISERROR(SEARCH("Freelance Audio",Z46)))</formula>
    </cfRule>
    <cfRule type="containsText" dxfId="2110" priority="752" stopIfTrue="1" operator="containsText" text="Audio">
      <formula>NOT(ISERROR(SEARCH("Audio",Z46)))</formula>
    </cfRule>
  </conditionalFormatting>
  <conditionalFormatting sqref="AE45:AE49">
    <cfRule type="containsText" dxfId="2109" priority="745" operator="containsText" text="ONE">
      <formula>NOT(ISERROR(SEARCH("ONE",AE45)))</formula>
    </cfRule>
    <cfRule type="containsText" dxfId="2108" priority="746" operator="containsText" text="GEM">
      <formula>NOT(ISERROR(SEARCH("GEM",AE45)))</formula>
    </cfRule>
    <cfRule type="containsText" dxfId="2107" priority="747" operator="containsText" text="ANIMAX">
      <formula>NOT(ISERROR(SEARCH("ANIMAX",AE45)))</formula>
    </cfRule>
    <cfRule type="containsText" dxfId="2106" priority="748" operator="containsText" text="AXN TW">
      <formula>NOT(ISERROR(SEARCH("AXN TW",AE45)))</formula>
    </cfRule>
    <cfRule type="containsText" dxfId="2105" priority="749" operator="containsText" text="AXN">
      <formula>NOT(ISERROR(SEARCH("AXN",AE45)))</formula>
    </cfRule>
  </conditionalFormatting>
  <conditionalFormatting sqref="AG45:AG49">
    <cfRule type="containsText" dxfId="2104" priority="742" stopIfTrue="1" operator="containsText" text="Master">
      <formula>NOT(ISERROR(SEARCH("Master",AG45)))</formula>
    </cfRule>
    <cfRule type="containsText" dxfId="2103" priority="743" stopIfTrue="1" operator="containsText" text="Freelance Audio">
      <formula>NOT(ISERROR(SEARCH("Freelance Audio",AG45)))</formula>
    </cfRule>
    <cfRule type="containsText" dxfId="2102" priority="744" stopIfTrue="1" operator="containsText" text="Audio">
      <formula>NOT(ISERROR(SEARCH("Audio",AG45)))</formula>
    </cfRule>
  </conditionalFormatting>
  <conditionalFormatting sqref="C57:C61 C64:C67">
    <cfRule type="containsText" dxfId="2101" priority="737" operator="containsText" text="ONE">
      <formula>NOT(ISERROR(SEARCH("ONE",C57)))</formula>
    </cfRule>
    <cfRule type="containsText" dxfId="2100" priority="738" operator="containsText" text="GEM">
      <formula>NOT(ISERROR(SEARCH("GEM",C57)))</formula>
    </cfRule>
    <cfRule type="containsText" dxfId="2099" priority="739" operator="containsText" text="ANIMAX">
      <formula>NOT(ISERROR(SEARCH("ANIMAX",C57)))</formula>
    </cfRule>
    <cfRule type="containsText" dxfId="2098" priority="740" operator="containsText" text="AXN TW">
      <formula>NOT(ISERROR(SEARCH("AXN TW",C57)))</formula>
    </cfRule>
    <cfRule type="containsText" dxfId="2097" priority="741" operator="containsText" text="AXN">
      <formula>NOT(ISERROR(SEARCH("AXN",C57)))</formula>
    </cfRule>
  </conditionalFormatting>
  <conditionalFormatting sqref="E57:E61 E64:E67">
    <cfRule type="containsText" dxfId="2096" priority="734" stopIfTrue="1" operator="containsText" text="Master">
      <formula>NOT(ISERROR(SEARCH("Master",E57)))</formula>
    </cfRule>
    <cfRule type="containsText" dxfId="2095" priority="735" stopIfTrue="1" operator="containsText" text="Freelance Audio">
      <formula>NOT(ISERROR(SEARCH("Freelance Audio",E57)))</formula>
    </cfRule>
    <cfRule type="containsText" dxfId="2094" priority="736" stopIfTrue="1" operator="containsText" text="Audio">
      <formula>NOT(ISERROR(SEARCH("Audio",E57)))</formula>
    </cfRule>
  </conditionalFormatting>
  <conditionalFormatting sqref="J60:J61 J64:J67">
    <cfRule type="containsText" dxfId="2093" priority="729" operator="containsText" text="ONE">
      <formula>NOT(ISERROR(SEARCH("ONE",J60)))</formula>
    </cfRule>
    <cfRule type="containsText" dxfId="2092" priority="730" operator="containsText" text="GEM">
      <formula>NOT(ISERROR(SEARCH("GEM",J60)))</formula>
    </cfRule>
    <cfRule type="containsText" dxfId="2091" priority="731" operator="containsText" text="ANIMAX">
      <formula>NOT(ISERROR(SEARCH("ANIMAX",J60)))</formula>
    </cfRule>
    <cfRule type="containsText" dxfId="2090" priority="732" operator="containsText" text="AXN TW">
      <formula>NOT(ISERROR(SEARCH("AXN TW",J60)))</formula>
    </cfRule>
    <cfRule type="containsText" dxfId="2089" priority="733" operator="containsText" text="AXN">
      <formula>NOT(ISERROR(SEARCH("AXN",J60)))</formula>
    </cfRule>
  </conditionalFormatting>
  <conditionalFormatting sqref="L60:L61 L64:L67">
    <cfRule type="containsText" dxfId="2088" priority="726" stopIfTrue="1" operator="containsText" text="Master">
      <formula>NOT(ISERROR(SEARCH("Master",L60)))</formula>
    </cfRule>
    <cfRule type="containsText" dxfId="2087" priority="727" stopIfTrue="1" operator="containsText" text="Freelance Audio">
      <formula>NOT(ISERROR(SEARCH("Freelance Audio",L60)))</formula>
    </cfRule>
    <cfRule type="containsText" dxfId="2086" priority="728" stopIfTrue="1" operator="containsText" text="Audio">
      <formula>NOT(ISERROR(SEARCH("Audio",L60)))</formula>
    </cfRule>
  </conditionalFormatting>
  <conditionalFormatting sqref="Q60:Q61 Q63:Q67">
    <cfRule type="containsText" dxfId="2085" priority="721" operator="containsText" text="ONE">
      <formula>NOT(ISERROR(SEARCH("ONE",Q60)))</formula>
    </cfRule>
    <cfRule type="containsText" dxfId="2084" priority="722" operator="containsText" text="GEM">
      <formula>NOT(ISERROR(SEARCH("GEM",Q60)))</formula>
    </cfRule>
    <cfRule type="containsText" dxfId="2083" priority="723" operator="containsText" text="ANIMAX">
      <formula>NOT(ISERROR(SEARCH("ANIMAX",Q60)))</formula>
    </cfRule>
    <cfRule type="containsText" dxfId="2082" priority="724" operator="containsText" text="AXN TW">
      <formula>NOT(ISERROR(SEARCH("AXN TW",Q60)))</formula>
    </cfRule>
    <cfRule type="containsText" dxfId="2081" priority="725" operator="containsText" text="AXN">
      <formula>NOT(ISERROR(SEARCH("AXN",Q60)))</formula>
    </cfRule>
  </conditionalFormatting>
  <conditionalFormatting sqref="S60:S61 S63:S67">
    <cfRule type="containsText" dxfId="2080" priority="718" stopIfTrue="1" operator="containsText" text="Master">
      <formula>NOT(ISERROR(SEARCH("Master",S60)))</formula>
    </cfRule>
    <cfRule type="containsText" dxfId="2079" priority="719" stopIfTrue="1" operator="containsText" text="Freelance Audio">
      <formula>NOT(ISERROR(SEARCH("Freelance Audio",S60)))</formula>
    </cfRule>
    <cfRule type="containsText" dxfId="2078" priority="720" stopIfTrue="1" operator="containsText" text="Audio">
      <formula>NOT(ISERROR(SEARCH("Audio",S60)))</formula>
    </cfRule>
  </conditionalFormatting>
  <conditionalFormatting sqref="X63 X65:X67 X57:X61">
    <cfRule type="containsText" dxfId="2077" priority="713" operator="containsText" text="ONE">
      <formula>NOT(ISERROR(SEARCH("ONE",X57)))</formula>
    </cfRule>
    <cfRule type="containsText" dxfId="2076" priority="714" operator="containsText" text="GEM">
      <formula>NOT(ISERROR(SEARCH("GEM",X57)))</formula>
    </cfRule>
    <cfRule type="containsText" dxfId="2075" priority="715" operator="containsText" text="ANIMAX">
      <formula>NOT(ISERROR(SEARCH("ANIMAX",X57)))</formula>
    </cfRule>
    <cfRule type="containsText" dxfId="2074" priority="716" operator="containsText" text="AXN TW">
      <formula>NOT(ISERROR(SEARCH("AXN TW",X57)))</formula>
    </cfRule>
    <cfRule type="containsText" dxfId="2073" priority="717" operator="containsText" text="AXN">
      <formula>NOT(ISERROR(SEARCH("AXN",X57)))</formula>
    </cfRule>
  </conditionalFormatting>
  <conditionalFormatting sqref="Z57:Z61 Z63 Z65:Z67">
    <cfRule type="containsText" dxfId="2072" priority="710" stopIfTrue="1" operator="containsText" text="Master">
      <formula>NOT(ISERROR(SEARCH("Master",Z57)))</formula>
    </cfRule>
    <cfRule type="containsText" dxfId="2071" priority="711" stopIfTrue="1" operator="containsText" text="Freelance Audio">
      <formula>NOT(ISERROR(SEARCH("Freelance Audio",Z57)))</formula>
    </cfRule>
    <cfRule type="containsText" dxfId="2070" priority="712" stopIfTrue="1" operator="containsText" text="Audio">
      <formula>NOT(ISERROR(SEARCH("Audio",Z57)))</formula>
    </cfRule>
  </conditionalFormatting>
  <conditionalFormatting sqref="AE57:AE67">
    <cfRule type="containsText" dxfId="2069" priority="705" operator="containsText" text="ONE">
      <formula>NOT(ISERROR(SEARCH("ONE",AE57)))</formula>
    </cfRule>
    <cfRule type="containsText" dxfId="2068" priority="706" operator="containsText" text="GEM">
      <formula>NOT(ISERROR(SEARCH("GEM",AE57)))</formula>
    </cfRule>
    <cfRule type="containsText" dxfId="2067" priority="707" operator="containsText" text="ANIMAX">
      <formula>NOT(ISERROR(SEARCH("ANIMAX",AE57)))</formula>
    </cfRule>
    <cfRule type="containsText" dxfId="2066" priority="708" operator="containsText" text="AXN TW">
      <formula>NOT(ISERROR(SEARCH("AXN TW",AE57)))</formula>
    </cfRule>
    <cfRule type="containsText" dxfId="2065" priority="709" operator="containsText" text="AXN">
      <formula>NOT(ISERROR(SEARCH("AXN",AE57)))</formula>
    </cfRule>
  </conditionalFormatting>
  <conditionalFormatting sqref="AG57:AG67">
    <cfRule type="containsText" dxfId="2064" priority="702" stopIfTrue="1" operator="containsText" text="Master">
      <formula>NOT(ISERROR(SEARCH("Master",AG57)))</formula>
    </cfRule>
    <cfRule type="containsText" dxfId="2063" priority="703" stopIfTrue="1" operator="containsText" text="Freelance Audio">
      <formula>NOT(ISERROR(SEARCH("Freelance Audio",AG57)))</formula>
    </cfRule>
    <cfRule type="containsText" dxfId="2062" priority="704" stopIfTrue="1" operator="containsText" text="Audio">
      <formula>NOT(ISERROR(SEARCH("Audio",AG57)))</formula>
    </cfRule>
  </conditionalFormatting>
  <conditionalFormatting sqref="C69:C79">
    <cfRule type="containsText" dxfId="2061" priority="697" operator="containsText" text="ONE">
      <formula>NOT(ISERROR(SEARCH("ONE",C69)))</formula>
    </cfRule>
    <cfRule type="containsText" dxfId="2060" priority="698" operator="containsText" text="GEM">
      <formula>NOT(ISERROR(SEARCH("GEM",C69)))</formula>
    </cfRule>
    <cfRule type="containsText" dxfId="2059" priority="699" operator="containsText" text="ANIMAX">
      <formula>NOT(ISERROR(SEARCH("ANIMAX",C69)))</formula>
    </cfRule>
    <cfRule type="containsText" dxfId="2058" priority="700" operator="containsText" text="AXN TW">
      <formula>NOT(ISERROR(SEARCH("AXN TW",C69)))</formula>
    </cfRule>
    <cfRule type="containsText" dxfId="2057" priority="701" operator="containsText" text="AXN">
      <formula>NOT(ISERROR(SEARCH("AXN",C69)))</formula>
    </cfRule>
  </conditionalFormatting>
  <conditionalFormatting sqref="E69:E79">
    <cfRule type="containsText" dxfId="2056" priority="694" stopIfTrue="1" operator="containsText" text="Master">
      <formula>NOT(ISERROR(SEARCH("Master",E69)))</formula>
    </cfRule>
    <cfRule type="containsText" dxfId="2055" priority="695" stopIfTrue="1" operator="containsText" text="Freelance Audio">
      <formula>NOT(ISERROR(SEARCH("Freelance Audio",E69)))</formula>
    </cfRule>
    <cfRule type="containsText" dxfId="2054" priority="696" stopIfTrue="1" operator="containsText" text="Audio">
      <formula>NOT(ISERROR(SEARCH("Audio",E69)))</formula>
    </cfRule>
  </conditionalFormatting>
  <conditionalFormatting sqref="J69:J79">
    <cfRule type="containsText" dxfId="2053" priority="689" operator="containsText" text="ONE">
      <formula>NOT(ISERROR(SEARCH("ONE",J69)))</formula>
    </cfRule>
    <cfRule type="containsText" dxfId="2052" priority="690" operator="containsText" text="GEM">
      <formula>NOT(ISERROR(SEARCH("GEM",J69)))</formula>
    </cfRule>
    <cfRule type="containsText" dxfId="2051" priority="691" operator="containsText" text="ANIMAX">
      <formula>NOT(ISERROR(SEARCH("ANIMAX",J69)))</formula>
    </cfRule>
    <cfRule type="containsText" dxfId="2050" priority="692" operator="containsText" text="AXN TW">
      <formula>NOT(ISERROR(SEARCH("AXN TW",J69)))</formula>
    </cfRule>
    <cfRule type="containsText" dxfId="2049" priority="693" operator="containsText" text="AXN">
      <formula>NOT(ISERROR(SEARCH("AXN",J69)))</formula>
    </cfRule>
  </conditionalFormatting>
  <conditionalFormatting sqref="L69:L79">
    <cfRule type="containsText" dxfId="2048" priority="686" stopIfTrue="1" operator="containsText" text="Master">
      <formula>NOT(ISERROR(SEARCH("Master",L69)))</formula>
    </cfRule>
    <cfRule type="containsText" dxfId="2047" priority="687" stopIfTrue="1" operator="containsText" text="Freelance Audio">
      <formula>NOT(ISERROR(SEARCH("Freelance Audio",L69)))</formula>
    </cfRule>
    <cfRule type="containsText" dxfId="2046" priority="688" stopIfTrue="1" operator="containsText" text="Audio">
      <formula>NOT(ISERROR(SEARCH("Audio",L69)))</formula>
    </cfRule>
  </conditionalFormatting>
  <conditionalFormatting sqref="Q69:Q79">
    <cfRule type="containsText" dxfId="2045" priority="681" operator="containsText" text="ONE">
      <formula>NOT(ISERROR(SEARCH("ONE",Q69)))</formula>
    </cfRule>
    <cfRule type="containsText" dxfId="2044" priority="682" operator="containsText" text="GEM">
      <formula>NOT(ISERROR(SEARCH("GEM",Q69)))</formula>
    </cfRule>
    <cfRule type="containsText" dxfId="2043" priority="683" operator="containsText" text="ANIMAX">
      <formula>NOT(ISERROR(SEARCH("ANIMAX",Q69)))</formula>
    </cfRule>
    <cfRule type="containsText" dxfId="2042" priority="684" operator="containsText" text="AXN TW">
      <formula>NOT(ISERROR(SEARCH("AXN TW",Q69)))</formula>
    </cfRule>
    <cfRule type="containsText" dxfId="2041" priority="685" operator="containsText" text="AXN">
      <formula>NOT(ISERROR(SEARCH("AXN",Q69)))</formula>
    </cfRule>
  </conditionalFormatting>
  <conditionalFormatting sqref="S69:S79">
    <cfRule type="containsText" dxfId="2040" priority="678" stopIfTrue="1" operator="containsText" text="Master">
      <formula>NOT(ISERROR(SEARCH("Master",S69)))</formula>
    </cfRule>
    <cfRule type="containsText" dxfId="2039" priority="679" stopIfTrue="1" operator="containsText" text="Freelance Audio">
      <formula>NOT(ISERROR(SEARCH("Freelance Audio",S69)))</formula>
    </cfRule>
    <cfRule type="containsText" dxfId="2038" priority="680" stopIfTrue="1" operator="containsText" text="Audio">
      <formula>NOT(ISERROR(SEARCH("Audio",S69)))</formula>
    </cfRule>
  </conditionalFormatting>
  <conditionalFormatting sqref="X69:X79">
    <cfRule type="containsText" dxfId="2037" priority="673" operator="containsText" text="ONE">
      <formula>NOT(ISERROR(SEARCH("ONE",X69)))</formula>
    </cfRule>
    <cfRule type="containsText" dxfId="2036" priority="674" operator="containsText" text="GEM">
      <formula>NOT(ISERROR(SEARCH("GEM",X69)))</formula>
    </cfRule>
    <cfRule type="containsText" dxfId="2035" priority="675" operator="containsText" text="ANIMAX">
      <formula>NOT(ISERROR(SEARCH("ANIMAX",X69)))</formula>
    </cfRule>
    <cfRule type="containsText" dxfId="2034" priority="676" operator="containsText" text="AXN TW">
      <formula>NOT(ISERROR(SEARCH("AXN TW",X69)))</formula>
    </cfRule>
    <cfRule type="containsText" dxfId="2033" priority="677" operator="containsText" text="AXN">
      <formula>NOT(ISERROR(SEARCH("AXN",X69)))</formula>
    </cfRule>
  </conditionalFormatting>
  <conditionalFormatting sqref="Z69:Z79">
    <cfRule type="containsText" dxfId="2032" priority="670" stopIfTrue="1" operator="containsText" text="Master">
      <formula>NOT(ISERROR(SEARCH("Master",Z69)))</formula>
    </cfRule>
    <cfRule type="containsText" dxfId="2031" priority="671" stopIfTrue="1" operator="containsText" text="Freelance Audio">
      <formula>NOT(ISERROR(SEARCH("Freelance Audio",Z69)))</formula>
    </cfRule>
    <cfRule type="containsText" dxfId="2030" priority="672" stopIfTrue="1" operator="containsText" text="Audio">
      <formula>NOT(ISERROR(SEARCH("Audio",Z69)))</formula>
    </cfRule>
  </conditionalFormatting>
  <conditionalFormatting sqref="AE69:AE79">
    <cfRule type="containsText" dxfId="2029" priority="665" operator="containsText" text="ONE">
      <formula>NOT(ISERROR(SEARCH("ONE",AE69)))</formula>
    </cfRule>
    <cfRule type="containsText" dxfId="2028" priority="666" operator="containsText" text="GEM">
      <formula>NOT(ISERROR(SEARCH("GEM",AE69)))</formula>
    </cfRule>
    <cfRule type="containsText" dxfId="2027" priority="667" operator="containsText" text="ANIMAX">
      <formula>NOT(ISERROR(SEARCH("ANIMAX",AE69)))</formula>
    </cfRule>
    <cfRule type="containsText" dxfId="2026" priority="668" operator="containsText" text="AXN TW">
      <formula>NOT(ISERROR(SEARCH("AXN TW",AE69)))</formula>
    </cfRule>
    <cfRule type="containsText" dxfId="2025" priority="669" operator="containsText" text="AXN">
      <formula>NOT(ISERROR(SEARCH("AXN",AE69)))</formula>
    </cfRule>
  </conditionalFormatting>
  <conditionalFormatting sqref="AG69:AG79">
    <cfRule type="containsText" dxfId="2024" priority="662" stopIfTrue="1" operator="containsText" text="Master">
      <formula>NOT(ISERROR(SEARCH("Master",AG69)))</formula>
    </cfRule>
    <cfRule type="containsText" dxfId="2023" priority="663" stopIfTrue="1" operator="containsText" text="Freelance Audio">
      <formula>NOT(ISERROR(SEARCH("Freelance Audio",AG69)))</formula>
    </cfRule>
    <cfRule type="containsText" dxfId="2022" priority="664" stopIfTrue="1" operator="containsText" text="Audio">
      <formula>NOT(ISERROR(SEARCH("Audio",AG69)))</formula>
    </cfRule>
  </conditionalFormatting>
  <conditionalFormatting sqref="H20 H32 H44 H56 H68 O68 O56 O44 O32 O20 O8 V8 V20 V32 V44 V56 V68 AC68 AC56 AC44 AC32 AC20 AC8 AJ8 AJ20 AJ32 AJ44 AJ56 AJ68">
    <cfRule type="expression" dxfId="2021" priority="584">
      <formula>MONTH(H8)&lt;&gt;$AN$5</formula>
    </cfRule>
  </conditionalFormatting>
  <conditionalFormatting sqref="H8">
    <cfRule type="expression" dxfId="2020" priority="642">
      <formula>MONTH(H8)&lt;&gt;$AN$5</formula>
    </cfRule>
  </conditionalFormatting>
  <conditionalFormatting sqref="B9:H19 B8">
    <cfRule type="expression" dxfId="2019" priority="612">
      <formula>MONTH($H$8)&lt;&gt;$AN$5</formula>
    </cfRule>
  </conditionalFormatting>
  <conditionalFormatting sqref="I9:O19 I8">
    <cfRule type="expression" dxfId="2018" priority="613">
      <formula>MONTH($O$8)&lt;&gt;$AN$5</formula>
    </cfRule>
  </conditionalFormatting>
  <conditionalFormatting sqref="P8 P9:V13 P15:V19 S14:V14">
    <cfRule type="expression" dxfId="2017" priority="611">
      <formula>MONTH($V$8)&lt;&gt;$AN$5</formula>
    </cfRule>
  </conditionalFormatting>
  <conditionalFormatting sqref="AD11:AJ13 AD8 AD17:AJ19 AD10:AE10 AG10:AJ10">
    <cfRule type="expression" dxfId="2016" priority="609">
      <formula>MONTH($AJ$8)&lt;&gt;$AN$5</formula>
    </cfRule>
  </conditionalFormatting>
  <conditionalFormatting sqref="W8 W18:AC19 W11:AC16">
    <cfRule type="expression" dxfId="2015" priority="610">
      <formula>MONTH($AC$8)&lt;&gt;$AN$5</formula>
    </cfRule>
  </conditionalFormatting>
  <conditionalFormatting sqref="AD69:AJ79 AD68">
    <cfRule type="expression" dxfId="2014" priority="589">
      <formula>MONTH($AJ$68)&lt;&gt;$AN$5</formula>
    </cfRule>
  </conditionalFormatting>
  <conditionalFormatting sqref="W69:AC79 W68">
    <cfRule type="expression" dxfId="2013" priority="588">
      <formula>MONTH($AC$68)&lt;&gt;$AN$5</formula>
    </cfRule>
  </conditionalFormatting>
  <conditionalFormatting sqref="P69:V79 P68">
    <cfRule type="expression" dxfId="2012" priority="587">
      <formula>MONTH($V$68)&lt;&gt;$AN$5</formula>
    </cfRule>
  </conditionalFormatting>
  <conditionalFormatting sqref="I69:O79 I68">
    <cfRule type="expression" dxfId="2011" priority="586">
      <formula>MONTH($O$68)&lt;&gt;$AN$5</formula>
    </cfRule>
  </conditionalFormatting>
  <conditionalFormatting sqref="B69:H79 B68">
    <cfRule type="expression" dxfId="2010" priority="585">
      <formula>MONTH($H$68)&lt;&gt;$AN$5</formula>
    </cfRule>
  </conditionalFormatting>
  <conditionalFormatting sqref="AD57:AJ67 AD56">
    <cfRule type="expression" dxfId="2009" priority="590">
      <formula>MONTH($AJ$56)&lt;&gt;$AN$5</formula>
    </cfRule>
  </conditionalFormatting>
  <conditionalFormatting sqref="W56 W63:AC63 W65:AC67 W57:AC58 W60:AC61 W59:AB59 P58:V58">
    <cfRule type="expression" dxfId="2008" priority="591">
      <formula>MONTH($AC$56)&lt;&gt;$AN$5</formula>
    </cfRule>
  </conditionalFormatting>
  <conditionalFormatting sqref="P60:V61 P56 P63:V67 B63:H63 R62:V62">
    <cfRule type="expression" dxfId="2007" priority="592">
      <formula>MONTH($V$56)&lt;&gt;$AN$5</formula>
    </cfRule>
  </conditionalFormatting>
  <conditionalFormatting sqref="I60:O61 I56 I64:O67">
    <cfRule type="expression" dxfId="2006" priority="593">
      <formula>MONTH($O$56)&lt;&gt;$AN$5</formula>
    </cfRule>
  </conditionalFormatting>
  <conditionalFormatting sqref="B57:H61 B56 B64:H67 I59:O59 B22:H22">
    <cfRule type="expression" dxfId="2005" priority="594">
      <formula>MONTH($H$56)&lt;&gt;$AN$5</formula>
    </cfRule>
  </conditionalFormatting>
  <conditionalFormatting sqref="B21:H21 B20 B23:H25 B27:H31">
    <cfRule type="expression" dxfId="2004" priority="614">
      <formula>MONTH($H$20)&lt;&gt;$AN$5</formula>
    </cfRule>
  </conditionalFormatting>
  <conditionalFormatting sqref="X26">
    <cfRule type="containsText" dxfId="2003" priority="579" operator="containsText" text="ONE">
      <formula>NOT(ISERROR(SEARCH("ONE",X26)))</formula>
    </cfRule>
    <cfRule type="containsText" dxfId="2002" priority="580" operator="containsText" text="GEM">
      <formula>NOT(ISERROR(SEARCH("GEM",X26)))</formula>
    </cfRule>
    <cfRule type="containsText" dxfId="2001" priority="581" operator="containsText" text="ANIMAX">
      <formula>NOT(ISERROR(SEARCH("ANIMAX",X26)))</formula>
    </cfRule>
    <cfRule type="containsText" dxfId="2000" priority="582" operator="containsText" text="AXN TW">
      <formula>NOT(ISERROR(SEARCH("AXN TW",X26)))</formula>
    </cfRule>
    <cfRule type="containsText" dxfId="1999" priority="583" operator="containsText" text="AXN">
      <formula>NOT(ISERROR(SEARCH("AXN",X26)))</formula>
    </cfRule>
  </conditionalFormatting>
  <conditionalFormatting sqref="Z26:Z27">
    <cfRule type="containsText" dxfId="1998" priority="576" stopIfTrue="1" operator="containsText" text="Master">
      <formula>NOT(ISERROR(SEARCH("Master",Z26)))</formula>
    </cfRule>
    <cfRule type="containsText" dxfId="1997" priority="577" stopIfTrue="1" operator="containsText" text="Freelance Audio">
      <formula>NOT(ISERROR(SEARCH("Freelance Audio",Z26)))</formula>
    </cfRule>
    <cfRule type="containsText" dxfId="1996" priority="578" stopIfTrue="1" operator="containsText" text="Audio">
      <formula>NOT(ISERROR(SEARCH("Audio",Z26)))</formula>
    </cfRule>
  </conditionalFormatting>
  <conditionalFormatting sqref="W26:AC26">
    <cfRule type="expression" dxfId="1995" priority="574">
      <formula>MONTH($AC$8)&lt;&gt;$AN$5</formula>
    </cfRule>
  </conditionalFormatting>
  <conditionalFormatting sqref="X38">
    <cfRule type="containsText" dxfId="1994" priority="569" operator="containsText" text="ONE">
      <formula>NOT(ISERROR(SEARCH("ONE",X38)))</formula>
    </cfRule>
    <cfRule type="containsText" dxfId="1993" priority="570" operator="containsText" text="GEM">
      <formula>NOT(ISERROR(SEARCH("GEM",X38)))</formula>
    </cfRule>
    <cfRule type="containsText" dxfId="1992" priority="571" operator="containsText" text="ANIMAX">
      <formula>NOT(ISERROR(SEARCH("ANIMAX",X38)))</formula>
    </cfRule>
    <cfRule type="containsText" dxfId="1991" priority="572" operator="containsText" text="AXN TW">
      <formula>NOT(ISERROR(SEARCH("AXN TW",X38)))</formula>
    </cfRule>
    <cfRule type="containsText" dxfId="1990" priority="573" operator="containsText" text="AXN">
      <formula>NOT(ISERROR(SEARCH("AXN",X38)))</formula>
    </cfRule>
  </conditionalFormatting>
  <conditionalFormatting sqref="Z38">
    <cfRule type="containsText" dxfId="1989" priority="566" stopIfTrue="1" operator="containsText" text="Master">
      <formula>NOT(ISERROR(SEARCH("Master",Z38)))</formula>
    </cfRule>
    <cfRule type="containsText" dxfId="1988" priority="567" stopIfTrue="1" operator="containsText" text="Freelance Audio">
      <formula>NOT(ISERROR(SEARCH("Freelance Audio",Z38)))</formula>
    </cfRule>
    <cfRule type="containsText" dxfId="1987" priority="568" stopIfTrue="1" operator="containsText" text="Audio">
      <formula>NOT(ISERROR(SEARCH("Audio",Z38)))</formula>
    </cfRule>
  </conditionalFormatting>
  <conditionalFormatting sqref="W38:AC38">
    <cfRule type="expression" dxfId="1986" priority="564">
      <formula>MONTH($AC$8)&lt;&gt;$AN$5</formula>
    </cfRule>
  </conditionalFormatting>
  <conditionalFormatting sqref="X50">
    <cfRule type="containsText" dxfId="1985" priority="559" operator="containsText" text="ONE">
      <formula>NOT(ISERROR(SEARCH("ONE",X50)))</formula>
    </cfRule>
    <cfRule type="containsText" dxfId="1984" priority="560" operator="containsText" text="GEM">
      <formula>NOT(ISERROR(SEARCH("GEM",X50)))</formula>
    </cfRule>
    <cfRule type="containsText" dxfId="1983" priority="561" operator="containsText" text="ANIMAX">
      <formula>NOT(ISERROR(SEARCH("ANIMAX",X50)))</formula>
    </cfRule>
    <cfRule type="containsText" dxfId="1982" priority="562" operator="containsText" text="AXN TW">
      <formula>NOT(ISERROR(SEARCH("AXN TW",X50)))</formula>
    </cfRule>
    <cfRule type="containsText" dxfId="1981" priority="563" operator="containsText" text="AXN">
      <formula>NOT(ISERROR(SEARCH("AXN",X50)))</formula>
    </cfRule>
  </conditionalFormatting>
  <conditionalFormatting sqref="Z50">
    <cfRule type="containsText" dxfId="1980" priority="556" stopIfTrue="1" operator="containsText" text="Master">
      <formula>NOT(ISERROR(SEARCH("Master",Z50)))</formula>
    </cfRule>
    <cfRule type="containsText" dxfId="1979" priority="557" stopIfTrue="1" operator="containsText" text="Freelance Audio">
      <formula>NOT(ISERROR(SEARCH("Freelance Audio",Z50)))</formula>
    </cfRule>
    <cfRule type="containsText" dxfId="1978" priority="558" stopIfTrue="1" operator="containsText" text="Audio">
      <formula>NOT(ISERROR(SEARCH("Audio",Z50)))</formula>
    </cfRule>
  </conditionalFormatting>
  <conditionalFormatting sqref="W50:AC50">
    <cfRule type="expression" dxfId="1977" priority="554">
      <formula>MONTH($AC$8)&lt;&gt;$AN$5</formula>
    </cfRule>
  </conditionalFormatting>
  <conditionalFormatting sqref="J62">
    <cfRule type="containsText" dxfId="1976" priority="549" operator="containsText" text="ONE">
      <formula>NOT(ISERROR(SEARCH("ONE",J62)))</formula>
    </cfRule>
    <cfRule type="containsText" dxfId="1975" priority="550" operator="containsText" text="GEM">
      <formula>NOT(ISERROR(SEARCH("GEM",J62)))</formula>
    </cfRule>
    <cfRule type="containsText" dxfId="1974" priority="551" operator="containsText" text="ANIMAX">
      <formula>NOT(ISERROR(SEARCH("ANIMAX",J62)))</formula>
    </cfRule>
    <cfRule type="containsText" dxfId="1973" priority="552" operator="containsText" text="AXN TW">
      <formula>NOT(ISERROR(SEARCH("AXN TW",J62)))</formula>
    </cfRule>
    <cfRule type="containsText" dxfId="1972" priority="553" operator="containsText" text="AXN">
      <formula>NOT(ISERROR(SEARCH("AXN",J62)))</formula>
    </cfRule>
  </conditionalFormatting>
  <conditionalFormatting sqref="L62">
    <cfRule type="containsText" dxfId="1971" priority="546" stopIfTrue="1" operator="containsText" text="Master">
      <formula>NOT(ISERROR(SEARCH("Master",L62)))</formula>
    </cfRule>
    <cfRule type="containsText" dxfId="1970" priority="547" stopIfTrue="1" operator="containsText" text="Freelance Audio">
      <formula>NOT(ISERROR(SEARCH("Freelance Audio",L62)))</formula>
    </cfRule>
    <cfRule type="containsText" dxfId="1969" priority="548" stopIfTrue="1" operator="containsText" text="Audio">
      <formula>NOT(ISERROR(SEARCH("Audio",L62)))</formula>
    </cfRule>
  </conditionalFormatting>
  <conditionalFormatting sqref="I62:O62">
    <cfRule type="expression" dxfId="1968" priority="544">
      <formula>MONTH($AC$8)&lt;&gt;$AN$5</formula>
    </cfRule>
  </conditionalFormatting>
  <conditionalFormatting sqref="C33">
    <cfRule type="containsText" dxfId="1967" priority="539" operator="containsText" text="ONE">
      <formula>NOT(ISERROR(SEARCH("ONE",C33)))</formula>
    </cfRule>
    <cfRule type="containsText" dxfId="1966" priority="540" operator="containsText" text="GEM">
      <formula>NOT(ISERROR(SEARCH("GEM",C33)))</formula>
    </cfRule>
    <cfRule type="containsText" dxfId="1965" priority="541" operator="containsText" text="ANIMAX">
      <formula>NOT(ISERROR(SEARCH("ANIMAX",C33)))</formula>
    </cfRule>
    <cfRule type="containsText" dxfId="1964" priority="542" operator="containsText" text="AXN TW">
      <formula>NOT(ISERROR(SEARCH("AXN TW",C33)))</formula>
    </cfRule>
    <cfRule type="containsText" dxfId="1963" priority="543" operator="containsText" text="AXN">
      <formula>NOT(ISERROR(SEARCH("AXN",C33)))</formula>
    </cfRule>
  </conditionalFormatting>
  <conditionalFormatting sqref="E33:E34">
    <cfRule type="containsText" dxfId="1962" priority="536" stopIfTrue="1" operator="containsText" text="Master">
      <formula>NOT(ISERROR(SEARCH("Master",E33)))</formula>
    </cfRule>
    <cfRule type="containsText" dxfId="1961" priority="537" stopIfTrue="1" operator="containsText" text="Freelance Audio">
      <formula>NOT(ISERROR(SEARCH("Freelance Audio",E33)))</formula>
    </cfRule>
    <cfRule type="containsText" dxfId="1960" priority="538" stopIfTrue="1" operator="containsText" text="Audio">
      <formula>NOT(ISERROR(SEARCH("Audio",E33)))</formula>
    </cfRule>
  </conditionalFormatting>
  <conditionalFormatting sqref="B33:H33 E34">
    <cfRule type="expression" dxfId="1959" priority="534">
      <formula>MONTH($O$8)&lt;&gt;$AN$5</formula>
    </cfRule>
  </conditionalFormatting>
  <conditionalFormatting sqref="J38">
    <cfRule type="containsText" dxfId="1958" priority="529" operator="containsText" text="ONE">
      <formula>NOT(ISERROR(SEARCH("ONE",J38)))</formula>
    </cfRule>
    <cfRule type="containsText" dxfId="1957" priority="530" operator="containsText" text="GEM">
      <formula>NOT(ISERROR(SEARCH("GEM",J38)))</formula>
    </cfRule>
    <cfRule type="containsText" dxfId="1956" priority="531" operator="containsText" text="ANIMAX">
      <formula>NOT(ISERROR(SEARCH("ANIMAX",J38)))</formula>
    </cfRule>
    <cfRule type="containsText" dxfId="1955" priority="532" operator="containsText" text="AXN TW">
      <formula>NOT(ISERROR(SEARCH("AXN TW",J38)))</formula>
    </cfRule>
    <cfRule type="containsText" dxfId="1954" priority="533" operator="containsText" text="AXN">
      <formula>NOT(ISERROR(SEARCH("AXN",J38)))</formula>
    </cfRule>
  </conditionalFormatting>
  <conditionalFormatting sqref="L38">
    <cfRule type="containsText" dxfId="1953" priority="526" stopIfTrue="1" operator="containsText" text="Master">
      <formula>NOT(ISERROR(SEARCH("Master",L38)))</formula>
    </cfRule>
    <cfRule type="containsText" dxfId="1952" priority="527" stopIfTrue="1" operator="containsText" text="Freelance Audio">
      <formula>NOT(ISERROR(SEARCH("Freelance Audio",L38)))</formula>
    </cfRule>
    <cfRule type="containsText" dxfId="1951" priority="528" stopIfTrue="1" operator="containsText" text="Audio">
      <formula>NOT(ISERROR(SEARCH("Audio",L38)))</formula>
    </cfRule>
  </conditionalFormatting>
  <conditionalFormatting sqref="I38:O38">
    <cfRule type="expression" dxfId="1950" priority="524">
      <formula>MONTH($AC$8)&lt;&gt;$AN$5</formula>
    </cfRule>
  </conditionalFormatting>
  <conditionalFormatting sqref="J33:J34">
    <cfRule type="containsText" dxfId="1949" priority="517" operator="containsText" text="ONE">
      <formula>NOT(ISERROR(SEARCH("ONE",J33)))</formula>
    </cfRule>
    <cfRule type="containsText" dxfId="1948" priority="518" operator="containsText" text="GEM">
      <formula>NOT(ISERROR(SEARCH("GEM",J33)))</formula>
    </cfRule>
    <cfRule type="containsText" dxfId="1947" priority="519" operator="containsText" text="ANIMAX">
      <formula>NOT(ISERROR(SEARCH("ANIMAX",J33)))</formula>
    </cfRule>
    <cfRule type="containsText" dxfId="1946" priority="520" operator="containsText" text="AXN TW">
      <formula>NOT(ISERROR(SEARCH("AXN TW",J33)))</formula>
    </cfRule>
    <cfRule type="containsText" dxfId="1945" priority="521" operator="containsText" text="AXN">
      <formula>NOT(ISERROR(SEARCH("AXN",J33)))</formula>
    </cfRule>
  </conditionalFormatting>
  <conditionalFormatting sqref="L33:L34">
    <cfRule type="containsText" dxfId="1944" priority="514" stopIfTrue="1" operator="containsText" text="Master">
      <formula>NOT(ISERROR(SEARCH("Master",L33)))</formula>
    </cfRule>
    <cfRule type="containsText" dxfId="1943" priority="515" stopIfTrue="1" operator="containsText" text="Freelance Audio">
      <formula>NOT(ISERROR(SEARCH("Freelance Audio",L33)))</formula>
    </cfRule>
    <cfRule type="containsText" dxfId="1942" priority="516" stopIfTrue="1" operator="containsText" text="Audio">
      <formula>NOT(ISERROR(SEARCH("Audio",L33)))</formula>
    </cfRule>
  </conditionalFormatting>
  <conditionalFormatting sqref="I33:O33">
    <cfRule type="expression" dxfId="1941" priority="512">
      <formula>MONTH($O$8)&lt;&gt;$AN$5</formula>
    </cfRule>
  </conditionalFormatting>
  <conditionalFormatting sqref="I34:O34">
    <cfRule type="expression" dxfId="1940" priority="509">
      <formula>MONTH($O$8)&lt;&gt;$AN$5</formula>
    </cfRule>
  </conditionalFormatting>
  <conditionalFormatting sqref="J45:J46">
    <cfRule type="containsText" dxfId="1939" priority="504" operator="containsText" text="ONE">
      <formula>NOT(ISERROR(SEARCH("ONE",J45)))</formula>
    </cfRule>
    <cfRule type="containsText" dxfId="1938" priority="505" operator="containsText" text="GEM">
      <formula>NOT(ISERROR(SEARCH("GEM",J45)))</formula>
    </cfRule>
    <cfRule type="containsText" dxfId="1937" priority="506" operator="containsText" text="ANIMAX">
      <formula>NOT(ISERROR(SEARCH("ANIMAX",J45)))</formula>
    </cfRule>
    <cfRule type="containsText" dxfId="1936" priority="507" operator="containsText" text="AXN TW">
      <formula>NOT(ISERROR(SEARCH("AXN TW",J45)))</formula>
    </cfRule>
    <cfRule type="containsText" dxfId="1935" priority="508" operator="containsText" text="AXN">
      <formula>NOT(ISERROR(SEARCH("AXN",J45)))</formula>
    </cfRule>
  </conditionalFormatting>
  <conditionalFormatting sqref="L45:L46">
    <cfRule type="containsText" dxfId="1934" priority="501" stopIfTrue="1" operator="containsText" text="Master">
      <formula>NOT(ISERROR(SEARCH("Master",L45)))</formula>
    </cfRule>
    <cfRule type="containsText" dxfId="1933" priority="502" stopIfTrue="1" operator="containsText" text="Freelance Audio">
      <formula>NOT(ISERROR(SEARCH("Freelance Audio",L45)))</formula>
    </cfRule>
    <cfRule type="containsText" dxfId="1932" priority="503" stopIfTrue="1" operator="containsText" text="Audio">
      <formula>NOT(ISERROR(SEARCH("Audio",L45)))</formula>
    </cfRule>
  </conditionalFormatting>
  <conditionalFormatting sqref="I45:O45">
    <cfRule type="expression" dxfId="1931" priority="499">
      <formula>MONTH($O$8)&lt;&gt;$AN$5</formula>
    </cfRule>
  </conditionalFormatting>
  <conditionalFormatting sqref="I46:O46">
    <cfRule type="expression" dxfId="1930" priority="497">
      <formula>MONTH($O$8)&lt;&gt;$AN$5</formula>
    </cfRule>
  </conditionalFormatting>
  <conditionalFormatting sqref="J57:J58">
    <cfRule type="containsText" dxfId="1929" priority="492" operator="containsText" text="ONE">
      <formula>NOT(ISERROR(SEARCH("ONE",J57)))</formula>
    </cfRule>
    <cfRule type="containsText" dxfId="1928" priority="493" operator="containsText" text="GEM">
      <formula>NOT(ISERROR(SEARCH("GEM",J57)))</formula>
    </cfRule>
    <cfRule type="containsText" dxfId="1927" priority="494" operator="containsText" text="ANIMAX">
      <formula>NOT(ISERROR(SEARCH("ANIMAX",J57)))</formula>
    </cfRule>
    <cfRule type="containsText" dxfId="1926" priority="495" operator="containsText" text="AXN TW">
      <formula>NOT(ISERROR(SEARCH("AXN TW",J57)))</formula>
    </cfRule>
    <cfRule type="containsText" dxfId="1925" priority="496" operator="containsText" text="AXN">
      <formula>NOT(ISERROR(SEARCH("AXN",J57)))</formula>
    </cfRule>
  </conditionalFormatting>
  <conditionalFormatting sqref="L57:L58">
    <cfRule type="containsText" dxfId="1924" priority="489" stopIfTrue="1" operator="containsText" text="Master">
      <formula>NOT(ISERROR(SEARCH("Master",L57)))</formula>
    </cfRule>
    <cfRule type="containsText" dxfId="1923" priority="490" stopIfTrue="1" operator="containsText" text="Freelance Audio">
      <formula>NOT(ISERROR(SEARCH("Freelance Audio",L57)))</formula>
    </cfRule>
    <cfRule type="containsText" dxfId="1922" priority="491" stopIfTrue="1" operator="containsText" text="Audio">
      <formula>NOT(ISERROR(SEARCH("Audio",L57)))</formula>
    </cfRule>
  </conditionalFormatting>
  <conditionalFormatting sqref="I57:V57">
    <cfRule type="expression" dxfId="1921" priority="487">
      <formula>MONTH($O$8)&lt;&gt;$AN$5</formula>
    </cfRule>
  </conditionalFormatting>
  <conditionalFormatting sqref="I58:O58">
    <cfRule type="expression" dxfId="1920" priority="485">
      <formula>MONTH($O$8)&lt;&gt;$AN$5</formula>
    </cfRule>
  </conditionalFormatting>
  <conditionalFormatting sqref="X62">
    <cfRule type="containsText" dxfId="1919" priority="480" operator="containsText" text="ONE">
      <formula>NOT(ISERROR(SEARCH("ONE",X62)))</formula>
    </cfRule>
    <cfRule type="containsText" dxfId="1918" priority="481" operator="containsText" text="GEM">
      <formula>NOT(ISERROR(SEARCH("GEM",X62)))</formula>
    </cfRule>
    <cfRule type="containsText" dxfId="1917" priority="482" operator="containsText" text="ANIMAX">
      <formula>NOT(ISERROR(SEARCH("ANIMAX",X62)))</formula>
    </cfRule>
    <cfRule type="containsText" dxfId="1916" priority="483" operator="containsText" text="AXN TW">
      <formula>NOT(ISERROR(SEARCH("AXN TW",X62)))</formula>
    </cfRule>
    <cfRule type="containsText" dxfId="1915" priority="484" operator="containsText" text="AXN">
      <formula>NOT(ISERROR(SEARCH("AXN",X62)))</formula>
    </cfRule>
  </conditionalFormatting>
  <conditionalFormatting sqref="Z62">
    <cfRule type="containsText" dxfId="1914" priority="477" stopIfTrue="1" operator="containsText" text="Master">
      <formula>NOT(ISERROR(SEARCH("Master",Z62)))</formula>
    </cfRule>
    <cfRule type="containsText" dxfId="1913" priority="478" stopIfTrue="1" operator="containsText" text="Freelance Audio">
      <formula>NOT(ISERROR(SEARCH("Freelance Audio",Z62)))</formula>
    </cfRule>
    <cfRule type="containsText" dxfId="1912" priority="479" stopIfTrue="1" operator="containsText" text="Audio">
      <formula>NOT(ISERROR(SEARCH("Audio",Z62)))</formula>
    </cfRule>
  </conditionalFormatting>
  <conditionalFormatting sqref="W62:AC62">
    <cfRule type="expression" dxfId="1911" priority="475">
      <formula>MONTH($AC$8)&lt;&gt;$AN$5</formula>
    </cfRule>
  </conditionalFormatting>
  <conditionalFormatting sqref="Q57">
    <cfRule type="containsText" dxfId="1910" priority="470" operator="containsText" text="ONE">
      <formula>NOT(ISERROR(SEARCH("ONE",Q57)))</formula>
    </cfRule>
    <cfRule type="containsText" dxfId="1909" priority="471" operator="containsText" text="GEM">
      <formula>NOT(ISERROR(SEARCH("GEM",Q57)))</formula>
    </cfRule>
    <cfRule type="containsText" dxfId="1908" priority="472" operator="containsText" text="ANIMAX">
      <formula>NOT(ISERROR(SEARCH("ANIMAX",Q57)))</formula>
    </cfRule>
    <cfRule type="containsText" dxfId="1907" priority="473" operator="containsText" text="AXN TW">
      <formula>NOT(ISERROR(SEARCH("AXN TW",Q57)))</formula>
    </cfRule>
    <cfRule type="containsText" dxfId="1906" priority="474" operator="containsText" text="AXN">
      <formula>NOT(ISERROR(SEARCH("AXN",Q57)))</formula>
    </cfRule>
  </conditionalFormatting>
  <conditionalFormatting sqref="S57">
    <cfRule type="containsText" dxfId="1905" priority="467" stopIfTrue="1" operator="containsText" text="Master">
      <formula>NOT(ISERROR(SEARCH("Master",S57)))</formula>
    </cfRule>
    <cfRule type="containsText" dxfId="1904" priority="468" stopIfTrue="1" operator="containsText" text="Freelance Audio">
      <formula>NOT(ISERROR(SEARCH("Freelance Audio",S57)))</formula>
    </cfRule>
    <cfRule type="containsText" dxfId="1903" priority="469" stopIfTrue="1" operator="containsText" text="Audio">
      <formula>NOT(ISERROR(SEARCH("Audio",S57)))</formula>
    </cfRule>
  </conditionalFormatting>
  <conditionalFormatting sqref="AE33:AE34">
    <cfRule type="containsText" dxfId="1902" priority="462" operator="containsText" text="ONE">
      <formula>NOT(ISERROR(SEARCH("ONE",AE33)))</formula>
    </cfRule>
    <cfRule type="containsText" dxfId="1901" priority="463" operator="containsText" text="GEM">
      <formula>NOT(ISERROR(SEARCH("GEM",AE33)))</formula>
    </cfRule>
    <cfRule type="containsText" dxfId="1900" priority="464" operator="containsText" text="ANIMAX">
      <formula>NOT(ISERROR(SEARCH("ANIMAX",AE33)))</formula>
    </cfRule>
    <cfRule type="containsText" dxfId="1899" priority="465" operator="containsText" text="AXN TW">
      <formula>NOT(ISERROR(SEARCH("AXN TW",AE33)))</formula>
    </cfRule>
    <cfRule type="containsText" dxfId="1898" priority="466" operator="containsText" text="AXN">
      <formula>NOT(ISERROR(SEARCH("AXN",AE33)))</formula>
    </cfRule>
  </conditionalFormatting>
  <conditionalFormatting sqref="AG33:AG34">
    <cfRule type="containsText" dxfId="1897" priority="459" stopIfTrue="1" operator="containsText" text="Master">
      <formula>NOT(ISERROR(SEARCH("Master",AG33)))</formula>
    </cfRule>
    <cfRule type="containsText" dxfId="1896" priority="460" stopIfTrue="1" operator="containsText" text="Freelance Audio">
      <formula>NOT(ISERROR(SEARCH("Freelance Audio",AG33)))</formula>
    </cfRule>
    <cfRule type="containsText" dxfId="1895" priority="461" stopIfTrue="1" operator="containsText" text="Audio">
      <formula>NOT(ISERROR(SEARCH("Audio",AG33)))</formula>
    </cfRule>
  </conditionalFormatting>
  <conditionalFormatting sqref="C51">
    <cfRule type="containsText" dxfId="1894" priority="453" operator="containsText" text="ONE">
      <formula>NOT(ISERROR(SEARCH("ONE",C51)))</formula>
    </cfRule>
    <cfRule type="containsText" dxfId="1893" priority="454" operator="containsText" text="GEM">
      <formula>NOT(ISERROR(SEARCH("GEM",C51)))</formula>
    </cfRule>
    <cfRule type="containsText" dxfId="1892" priority="455" operator="containsText" text="ANIMAX">
      <formula>NOT(ISERROR(SEARCH("ANIMAX",C51)))</formula>
    </cfRule>
    <cfRule type="containsText" dxfId="1891" priority="456" operator="containsText" text="AXN TW">
      <formula>NOT(ISERROR(SEARCH("AXN TW",C51)))</formula>
    </cfRule>
    <cfRule type="containsText" dxfId="1890" priority="457" operator="containsText" text="AXN">
      <formula>NOT(ISERROR(SEARCH("AXN",C51)))</formula>
    </cfRule>
  </conditionalFormatting>
  <conditionalFormatting sqref="E51">
    <cfRule type="containsText" dxfId="1889" priority="450" stopIfTrue="1" operator="containsText" text="Master">
      <formula>NOT(ISERROR(SEARCH("Master",E51)))</formula>
    </cfRule>
    <cfRule type="containsText" dxfId="1888" priority="451" stopIfTrue="1" operator="containsText" text="Freelance Audio">
      <formula>NOT(ISERROR(SEARCH("Freelance Audio",E51)))</formula>
    </cfRule>
    <cfRule type="containsText" dxfId="1887" priority="452" stopIfTrue="1" operator="containsText" text="Audio">
      <formula>NOT(ISERROR(SEARCH("Audio",E51)))</formula>
    </cfRule>
  </conditionalFormatting>
  <conditionalFormatting sqref="J51">
    <cfRule type="containsText" dxfId="1886" priority="443" operator="containsText" text="ONE">
      <formula>NOT(ISERROR(SEARCH("ONE",J51)))</formula>
    </cfRule>
    <cfRule type="containsText" dxfId="1885" priority="444" operator="containsText" text="GEM">
      <formula>NOT(ISERROR(SEARCH("GEM",J51)))</formula>
    </cfRule>
    <cfRule type="containsText" dxfId="1884" priority="445" operator="containsText" text="ANIMAX">
      <formula>NOT(ISERROR(SEARCH("ANIMAX",J51)))</formula>
    </cfRule>
    <cfRule type="containsText" dxfId="1883" priority="446" operator="containsText" text="AXN TW">
      <formula>NOT(ISERROR(SEARCH("AXN TW",J51)))</formula>
    </cfRule>
    <cfRule type="containsText" dxfId="1882" priority="447" operator="containsText" text="AXN">
      <formula>NOT(ISERROR(SEARCH("AXN",J51)))</formula>
    </cfRule>
  </conditionalFormatting>
  <conditionalFormatting sqref="L51">
    <cfRule type="containsText" dxfId="1881" priority="440" stopIfTrue="1" operator="containsText" text="Master">
      <formula>NOT(ISERROR(SEARCH("Master",L51)))</formula>
    </cfRule>
    <cfRule type="containsText" dxfId="1880" priority="441" stopIfTrue="1" operator="containsText" text="Freelance Audio">
      <formula>NOT(ISERROR(SEARCH("Freelance Audio",L51)))</formula>
    </cfRule>
    <cfRule type="containsText" dxfId="1879" priority="442" stopIfTrue="1" operator="containsText" text="Audio">
      <formula>NOT(ISERROR(SEARCH("Audio",L51)))</formula>
    </cfRule>
  </conditionalFormatting>
  <conditionalFormatting sqref="J59">
    <cfRule type="containsText" dxfId="1878" priority="434" operator="containsText" text="ONE">
      <formula>NOT(ISERROR(SEARCH("ONE",J59)))</formula>
    </cfRule>
    <cfRule type="containsText" dxfId="1877" priority="435" operator="containsText" text="GEM">
      <formula>NOT(ISERROR(SEARCH("GEM",J59)))</formula>
    </cfRule>
    <cfRule type="containsText" dxfId="1876" priority="436" operator="containsText" text="ANIMAX">
      <formula>NOT(ISERROR(SEARCH("ANIMAX",J59)))</formula>
    </cfRule>
    <cfRule type="containsText" dxfId="1875" priority="437" operator="containsText" text="AXN TW">
      <formula>NOT(ISERROR(SEARCH("AXN TW",J59)))</formula>
    </cfRule>
    <cfRule type="containsText" dxfId="1874" priority="438" operator="containsText" text="AXN">
      <formula>NOT(ISERROR(SEARCH("AXN",J59)))</formula>
    </cfRule>
  </conditionalFormatting>
  <conditionalFormatting sqref="L59">
    <cfRule type="containsText" dxfId="1873" priority="431" stopIfTrue="1" operator="containsText" text="Master">
      <formula>NOT(ISERROR(SEARCH("Master",L59)))</formula>
    </cfRule>
    <cfRule type="containsText" dxfId="1872" priority="432" stopIfTrue="1" operator="containsText" text="Freelance Audio">
      <formula>NOT(ISERROR(SEARCH("Freelance Audio",L59)))</formula>
    </cfRule>
    <cfRule type="containsText" dxfId="1871" priority="433" stopIfTrue="1" operator="containsText" text="Audio">
      <formula>NOT(ISERROR(SEARCH("Audio",L59)))</formula>
    </cfRule>
  </conditionalFormatting>
  <conditionalFormatting sqref="C22">
    <cfRule type="containsText" dxfId="1870" priority="424" operator="containsText" text="ONE">
      <formula>NOT(ISERROR(SEARCH("ONE",C22)))</formula>
    </cfRule>
    <cfRule type="containsText" dxfId="1869" priority="425" operator="containsText" text="GEM">
      <formula>NOT(ISERROR(SEARCH("GEM",C22)))</formula>
    </cfRule>
    <cfRule type="containsText" dxfId="1868" priority="426" operator="containsText" text="ANIMAX">
      <formula>NOT(ISERROR(SEARCH("ANIMAX",C22)))</formula>
    </cfRule>
    <cfRule type="containsText" dxfId="1867" priority="427" operator="containsText" text="AXN TW">
      <formula>NOT(ISERROR(SEARCH("AXN TW",C22)))</formula>
    </cfRule>
    <cfRule type="containsText" dxfId="1866" priority="428" operator="containsText" text="AXN">
      <formula>NOT(ISERROR(SEARCH("AXN",C22)))</formula>
    </cfRule>
  </conditionalFormatting>
  <conditionalFormatting sqref="E22">
    <cfRule type="containsText" dxfId="1865" priority="421" stopIfTrue="1" operator="containsText" text="Master">
      <formula>NOT(ISERROR(SEARCH("Master",E22)))</formula>
    </cfRule>
    <cfRule type="containsText" dxfId="1864" priority="422" stopIfTrue="1" operator="containsText" text="Freelance Audio">
      <formula>NOT(ISERROR(SEARCH("Freelance Audio",E22)))</formula>
    </cfRule>
    <cfRule type="containsText" dxfId="1863" priority="423" stopIfTrue="1" operator="containsText" text="Audio">
      <formula>NOT(ISERROR(SEARCH("Audio",E22)))</formula>
    </cfRule>
  </conditionalFormatting>
  <conditionalFormatting sqref="Q58">
    <cfRule type="containsText" dxfId="1862" priority="414" operator="containsText" text="ONE">
      <formula>NOT(ISERROR(SEARCH("ONE",Q58)))</formula>
    </cfRule>
    <cfRule type="containsText" dxfId="1861" priority="415" operator="containsText" text="GEM">
      <formula>NOT(ISERROR(SEARCH("GEM",Q58)))</formula>
    </cfRule>
    <cfRule type="containsText" dxfId="1860" priority="416" operator="containsText" text="ANIMAX">
      <formula>NOT(ISERROR(SEARCH("ANIMAX",Q58)))</formula>
    </cfRule>
    <cfRule type="containsText" dxfId="1859" priority="417" operator="containsText" text="AXN TW">
      <formula>NOT(ISERROR(SEARCH("AXN TW",Q58)))</formula>
    </cfRule>
    <cfRule type="containsText" dxfId="1858" priority="418" operator="containsText" text="AXN">
      <formula>NOT(ISERROR(SEARCH("AXN",Q58)))</formula>
    </cfRule>
  </conditionalFormatting>
  <conditionalFormatting sqref="S58">
    <cfRule type="containsText" dxfId="1857" priority="411" stopIfTrue="1" operator="containsText" text="Master">
      <formula>NOT(ISERROR(SEARCH("Master",S58)))</formula>
    </cfRule>
    <cfRule type="containsText" dxfId="1856" priority="412" stopIfTrue="1" operator="containsText" text="Freelance Audio">
      <formula>NOT(ISERROR(SEARCH("Freelance Audio",S58)))</formula>
    </cfRule>
    <cfRule type="containsText" dxfId="1855" priority="413" stopIfTrue="1" operator="containsText" text="Audio">
      <formula>NOT(ISERROR(SEARCH("Audio",S58)))</formula>
    </cfRule>
  </conditionalFormatting>
  <conditionalFormatting sqref="C38">
    <cfRule type="containsText" dxfId="1854" priority="404" operator="containsText" text="ONE">
      <formula>NOT(ISERROR(SEARCH("ONE",C38)))</formula>
    </cfRule>
    <cfRule type="containsText" dxfId="1853" priority="405" operator="containsText" text="GEM">
      <formula>NOT(ISERROR(SEARCH("GEM",C38)))</formula>
    </cfRule>
    <cfRule type="containsText" dxfId="1852" priority="406" operator="containsText" text="ANIMAX">
      <formula>NOT(ISERROR(SEARCH("ANIMAX",C38)))</formula>
    </cfRule>
    <cfRule type="containsText" dxfId="1851" priority="407" operator="containsText" text="AXN TW">
      <formula>NOT(ISERROR(SEARCH("AXN TW",C38)))</formula>
    </cfRule>
    <cfRule type="containsText" dxfId="1850" priority="408" operator="containsText" text="AXN">
      <formula>NOT(ISERROR(SEARCH("AXN",C38)))</formula>
    </cfRule>
  </conditionalFormatting>
  <conditionalFormatting sqref="E38">
    <cfRule type="containsText" dxfId="1849" priority="401" stopIfTrue="1" operator="containsText" text="Master">
      <formula>NOT(ISERROR(SEARCH("Master",E38)))</formula>
    </cfRule>
    <cfRule type="containsText" dxfId="1848" priority="402" stopIfTrue="1" operator="containsText" text="Freelance Audio">
      <formula>NOT(ISERROR(SEARCH("Freelance Audio",E38)))</formula>
    </cfRule>
    <cfRule type="containsText" dxfId="1847" priority="403" stopIfTrue="1" operator="containsText" text="Audio">
      <formula>NOT(ISERROR(SEARCH("Audio",E38)))</formula>
    </cfRule>
  </conditionalFormatting>
  <conditionalFormatting sqref="J39">
    <cfRule type="containsText" dxfId="1846" priority="395" operator="containsText" text="ONE">
      <formula>NOT(ISERROR(SEARCH("ONE",J39)))</formula>
    </cfRule>
    <cfRule type="containsText" dxfId="1845" priority="396" operator="containsText" text="GEM">
      <formula>NOT(ISERROR(SEARCH("GEM",J39)))</formula>
    </cfRule>
    <cfRule type="containsText" dxfId="1844" priority="397" operator="containsText" text="ANIMAX">
      <formula>NOT(ISERROR(SEARCH("ANIMAX",J39)))</formula>
    </cfRule>
    <cfRule type="containsText" dxfId="1843" priority="398" operator="containsText" text="AXN TW">
      <formula>NOT(ISERROR(SEARCH("AXN TW",J39)))</formula>
    </cfRule>
    <cfRule type="containsText" dxfId="1842" priority="399" operator="containsText" text="AXN">
      <formula>NOT(ISERROR(SEARCH("AXN",J39)))</formula>
    </cfRule>
  </conditionalFormatting>
  <conditionalFormatting sqref="L39:L41">
    <cfRule type="containsText" dxfId="1841" priority="392" stopIfTrue="1" operator="containsText" text="Master">
      <formula>NOT(ISERROR(SEARCH("Master",L39)))</formula>
    </cfRule>
    <cfRule type="containsText" dxfId="1840" priority="393" stopIfTrue="1" operator="containsText" text="Freelance Audio">
      <formula>NOT(ISERROR(SEARCH("Freelance Audio",L39)))</formula>
    </cfRule>
    <cfRule type="containsText" dxfId="1839" priority="394" stopIfTrue="1" operator="containsText" text="Audio">
      <formula>NOT(ISERROR(SEARCH("Audio",L39)))</formula>
    </cfRule>
  </conditionalFormatting>
  <conditionalFormatting sqref="C62">
    <cfRule type="containsText" dxfId="1838" priority="386" operator="containsText" text="ONE">
      <formula>NOT(ISERROR(SEARCH("ONE",C62)))</formula>
    </cfRule>
    <cfRule type="containsText" dxfId="1837" priority="387" operator="containsText" text="GEM">
      <formula>NOT(ISERROR(SEARCH("GEM",C62)))</formula>
    </cfRule>
    <cfRule type="containsText" dxfId="1836" priority="388" operator="containsText" text="ANIMAX">
      <formula>NOT(ISERROR(SEARCH("ANIMAX",C62)))</formula>
    </cfRule>
    <cfRule type="containsText" dxfId="1835" priority="389" operator="containsText" text="AXN TW">
      <formula>NOT(ISERROR(SEARCH("AXN TW",C62)))</formula>
    </cfRule>
    <cfRule type="containsText" dxfId="1834" priority="390" operator="containsText" text="AXN">
      <formula>NOT(ISERROR(SEARCH("AXN",C62)))</formula>
    </cfRule>
  </conditionalFormatting>
  <conditionalFormatting sqref="E62">
    <cfRule type="containsText" dxfId="1833" priority="383" stopIfTrue="1" operator="containsText" text="Master">
      <formula>NOT(ISERROR(SEARCH("Master",E62)))</formula>
    </cfRule>
    <cfRule type="containsText" dxfId="1832" priority="384" stopIfTrue="1" operator="containsText" text="Freelance Audio">
      <formula>NOT(ISERROR(SEARCH("Freelance Audio",E62)))</formula>
    </cfRule>
    <cfRule type="containsText" dxfId="1831" priority="385" stopIfTrue="1" operator="containsText" text="Audio">
      <formula>NOT(ISERROR(SEARCH("Audio",E62)))</formula>
    </cfRule>
  </conditionalFormatting>
  <conditionalFormatting sqref="AE38">
    <cfRule type="containsText" dxfId="1830" priority="377" operator="containsText" text="ONE">
      <formula>NOT(ISERROR(SEARCH("ONE",AE38)))</formula>
    </cfRule>
    <cfRule type="containsText" dxfId="1829" priority="378" operator="containsText" text="GEM">
      <formula>NOT(ISERROR(SEARCH("GEM",AE38)))</formula>
    </cfRule>
    <cfRule type="containsText" dxfId="1828" priority="379" operator="containsText" text="ANIMAX">
      <formula>NOT(ISERROR(SEARCH("ANIMAX",AE38)))</formula>
    </cfRule>
    <cfRule type="containsText" dxfId="1827" priority="380" operator="containsText" text="AXN TW">
      <formula>NOT(ISERROR(SEARCH("AXN TW",AE38)))</formula>
    </cfRule>
    <cfRule type="containsText" dxfId="1826" priority="381" operator="containsText" text="AXN">
      <formula>NOT(ISERROR(SEARCH("AXN",AE38)))</formula>
    </cfRule>
  </conditionalFormatting>
  <conditionalFormatting sqref="AG38">
    <cfRule type="containsText" dxfId="1825" priority="374" stopIfTrue="1" operator="containsText" text="Master">
      <formula>NOT(ISERROR(SEARCH("Master",AG38)))</formula>
    </cfRule>
    <cfRule type="containsText" dxfId="1824" priority="375" stopIfTrue="1" operator="containsText" text="Freelance Audio">
      <formula>NOT(ISERROR(SEARCH("Freelance Audio",AG38)))</formula>
    </cfRule>
    <cfRule type="containsText" dxfId="1823" priority="376" stopIfTrue="1" operator="containsText" text="Audio">
      <formula>NOT(ISERROR(SEARCH("Audio",AG38)))</formula>
    </cfRule>
  </conditionalFormatting>
  <conditionalFormatting sqref="J63">
    <cfRule type="containsText" dxfId="1822" priority="368" operator="containsText" text="ONE">
      <formula>NOT(ISERROR(SEARCH("ONE",J63)))</formula>
    </cfRule>
    <cfRule type="containsText" dxfId="1821" priority="369" operator="containsText" text="GEM">
      <formula>NOT(ISERROR(SEARCH("GEM",J63)))</formula>
    </cfRule>
    <cfRule type="containsText" dxfId="1820" priority="370" operator="containsText" text="ANIMAX">
      <formula>NOT(ISERROR(SEARCH("ANIMAX",J63)))</formula>
    </cfRule>
    <cfRule type="containsText" dxfId="1819" priority="371" operator="containsText" text="AXN TW">
      <formula>NOT(ISERROR(SEARCH("AXN TW",J63)))</formula>
    </cfRule>
    <cfRule type="containsText" dxfId="1818" priority="372" operator="containsText" text="AXN">
      <formula>NOT(ISERROR(SEARCH("AXN",J63)))</formula>
    </cfRule>
  </conditionalFormatting>
  <conditionalFormatting sqref="L63">
    <cfRule type="containsText" dxfId="1817" priority="365" stopIfTrue="1" operator="containsText" text="Master">
      <formula>NOT(ISERROR(SEARCH("Master",L63)))</formula>
    </cfRule>
    <cfRule type="containsText" dxfId="1816" priority="366" stopIfTrue="1" operator="containsText" text="Freelance Audio">
      <formula>NOT(ISERROR(SEARCH("Freelance Audio",L63)))</formula>
    </cfRule>
    <cfRule type="containsText" dxfId="1815" priority="367" stopIfTrue="1" operator="containsText" text="Audio">
      <formula>NOT(ISERROR(SEARCH("Audio",L63)))</formula>
    </cfRule>
  </conditionalFormatting>
  <conditionalFormatting sqref="Q59">
    <cfRule type="containsText" dxfId="1814" priority="359" operator="containsText" text="ONE">
      <formula>NOT(ISERROR(SEARCH("ONE",Q59)))</formula>
    </cfRule>
    <cfRule type="containsText" dxfId="1813" priority="360" operator="containsText" text="GEM">
      <formula>NOT(ISERROR(SEARCH("GEM",Q59)))</formula>
    </cfRule>
    <cfRule type="containsText" dxfId="1812" priority="361" operator="containsText" text="ANIMAX">
      <formula>NOT(ISERROR(SEARCH("ANIMAX",Q59)))</formula>
    </cfRule>
    <cfRule type="containsText" dxfId="1811" priority="362" operator="containsText" text="AXN TW">
      <formula>NOT(ISERROR(SEARCH("AXN TW",Q59)))</formula>
    </cfRule>
    <cfRule type="containsText" dxfId="1810" priority="363" operator="containsText" text="AXN">
      <formula>NOT(ISERROR(SEARCH("AXN",Q59)))</formula>
    </cfRule>
  </conditionalFormatting>
  <conditionalFormatting sqref="S59">
    <cfRule type="containsText" dxfId="1809" priority="356" stopIfTrue="1" operator="containsText" text="Master">
      <formula>NOT(ISERROR(SEARCH("Master",S59)))</formula>
    </cfRule>
    <cfRule type="containsText" dxfId="1808" priority="357" stopIfTrue="1" operator="containsText" text="Freelance Audio">
      <formula>NOT(ISERROR(SEARCH("Freelance Audio",S59)))</formula>
    </cfRule>
    <cfRule type="containsText" dxfId="1807" priority="358" stopIfTrue="1" operator="containsText" text="Audio">
      <formula>NOT(ISERROR(SEARCH("Audio",S59)))</formula>
    </cfRule>
  </conditionalFormatting>
  <conditionalFormatting sqref="X64">
    <cfRule type="containsText" dxfId="1806" priority="350" operator="containsText" text="ONE">
      <formula>NOT(ISERROR(SEARCH("ONE",X64)))</formula>
    </cfRule>
    <cfRule type="containsText" dxfId="1805" priority="351" operator="containsText" text="GEM">
      <formula>NOT(ISERROR(SEARCH("GEM",X64)))</formula>
    </cfRule>
    <cfRule type="containsText" dxfId="1804" priority="352" operator="containsText" text="ANIMAX">
      <formula>NOT(ISERROR(SEARCH("ANIMAX",X64)))</formula>
    </cfRule>
    <cfRule type="containsText" dxfId="1803" priority="353" operator="containsText" text="AXN TW">
      <formula>NOT(ISERROR(SEARCH("AXN TW",X64)))</formula>
    </cfRule>
    <cfRule type="containsText" dxfId="1802" priority="354" operator="containsText" text="AXN">
      <formula>NOT(ISERROR(SEARCH("AXN",X64)))</formula>
    </cfRule>
  </conditionalFormatting>
  <conditionalFormatting sqref="Z64">
    <cfRule type="containsText" dxfId="1801" priority="347" stopIfTrue="1" operator="containsText" text="Master">
      <formula>NOT(ISERROR(SEARCH("Master",Z64)))</formula>
    </cfRule>
    <cfRule type="containsText" dxfId="1800" priority="348" stopIfTrue="1" operator="containsText" text="Freelance Audio">
      <formula>NOT(ISERROR(SEARCH("Freelance Audio",Z64)))</formula>
    </cfRule>
    <cfRule type="containsText" dxfId="1799" priority="349" stopIfTrue="1" operator="containsText" text="Audio">
      <formula>NOT(ISERROR(SEARCH("Audio",Z64)))</formula>
    </cfRule>
  </conditionalFormatting>
  <conditionalFormatting sqref="X17">
    <cfRule type="containsText" dxfId="1798" priority="321" operator="containsText" text="ONE">
      <formula>NOT(ISERROR(SEARCH("ONE",X17)))</formula>
    </cfRule>
    <cfRule type="containsText" dxfId="1797" priority="322" operator="containsText" text="GEM">
      <formula>NOT(ISERROR(SEARCH("GEM",X17)))</formula>
    </cfRule>
    <cfRule type="containsText" dxfId="1796" priority="323" operator="containsText" text="ANIMAX">
      <formula>NOT(ISERROR(SEARCH("ANIMAX",X17)))</formula>
    </cfRule>
    <cfRule type="containsText" dxfId="1795" priority="324" operator="containsText" text="AXN TW">
      <formula>NOT(ISERROR(SEARCH("AXN TW",X17)))</formula>
    </cfRule>
    <cfRule type="containsText" dxfId="1794" priority="325" operator="containsText" text="AXN">
      <formula>NOT(ISERROR(SEARCH("AXN",X17)))</formula>
    </cfRule>
  </conditionalFormatting>
  <conditionalFormatting sqref="Z17">
    <cfRule type="containsText" dxfId="1793" priority="318" stopIfTrue="1" operator="containsText" text="Master">
      <formula>NOT(ISERROR(SEARCH("Master",Z17)))</formula>
    </cfRule>
    <cfRule type="containsText" dxfId="1792" priority="319" stopIfTrue="1" operator="containsText" text="Freelance Audio">
      <formula>NOT(ISERROR(SEARCH("Freelance Audio",Z17)))</formula>
    </cfRule>
    <cfRule type="containsText" dxfId="1791" priority="320" stopIfTrue="1" operator="containsText" text="Audio">
      <formula>NOT(ISERROR(SEARCH("Audio",Z17)))</formula>
    </cfRule>
  </conditionalFormatting>
  <conditionalFormatting sqref="W17:AC17">
    <cfRule type="expression" dxfId="1790" priority="316">
      <formula>MONTH($V$8)&lt;&gt;$AN$5</formula>
    </cfRule>
  </conditionalFormatting>
  <conditionalFormatting sqref="I26:O26">
    <cfRule type="expression" dxfId="1789" priority="306">
      <formula>MONTH($V$8)&lt;&gt;$AN$5</formula>
    </cfRule>
  </conditionalFormatting>
  <conditionalFormatting sqref="X9:X10">
    <cfRule type="containsText" dxfId="1788" priority="301" operator="containsText" text="ONE">
      <formula>NOT(ISERROR(SEARCH("ONE",X9)))</formula>
    </cfRule>
    <cfRule type="containsText" dxfId="1787" priority="302" operator="containsText" text="GEM">
      <formula>NOT(ISERROR(SEARCH("GEM",X9)))</formula>
    </cfRule>
    <cfRule type="containsText" dxfId="1786" priority="303" operator="containsText" text="ANIMAX">
      <formula>NOT(ISERROR(SEARCH("ANIMAX",X9)))</formula>
    </cfRule>
    <cfRule type="containsText" dxfId="1785" priority="304" operator="containsText" text="AXN TW">
      <formula>NOT(ISERROR(SEARCH("AXN TW",X9)))</formula>
    </cfRule>
    <cfRule type="containsText" dxfId="1784" priority="305" operator="containsText" text="AXN">
      <formula>NOT(ISERROR(SEARCH("AXN",X9)))</formula>
    </cfRule>
  </conditionalFormatting>
  <conditionalFormatting sqref="Z9:Z10">
    <cfRule type="containsText" dxfId="1783" priority="298" stopIfTrue="1" operator="containsText" text="Master">
      <formula>NOT(ISERROR(SEARCH("Master",Z9)))</formula>
    </cfRule>
    <cfRule type="containsText" dxfId="1782" priority="299" stopIfTrue="1" operator="containsText" text="Freelance Audio">
      <formula>NOT(ISERROR(SEARCH("Freelance Audio",Z9)))</formula>
    </cfRule>
    <cfRule type="containsText" dxfId="1781" priority="300" stopIfTrue="1" operator="containsText" text="Audio">
      <formula>NOT(ISERROR(SEARCH("Audio",Z9)))</formula>
    </cfRule>
  </conditionalFormatting>
  <conditionalFormatting sqref="W9:AC9">
    <cfRule type="expression" dxfId="1780" priority="296">
      <formula>MONTH($V$8)&lt;&gt;$AN$5</formula>
    </cfRule>
  </conditionalFormatting>
  <conditionalFormatting sqref="AE14">
    <cfRule type="containsText" dxfId="1779" priority="291" operator="containsText" text="ONE">
      <formula>NOT(ISERROR(SEARCH("ONE",AE14)))</formula>
    </cfRule>
    <cfRule type="containsText" dxfId="1778" priority="292" operator="containsText" text="GEM">
      <formula>NOT(ISERROR(SEARCH("GEM",AE14)))</formula>
    </cfRule>
    <cfRule type="containsText" dxfId="1777" priority="293" operator="containsText" text="ANIMAX">
      <formula>NOT(ISERROR(SEARCH("ANIMAX",AE14)))</formula>
    </cfRule>
    <cfRule type="containsText" dxfId="1776" priority="294" operator="containsText" text="AXN TW">
      <formula>NOT(ISERROR(SEARCH("AXN TW",AE14)))</formula>
    </cfRule>
    <cfRule type="containsText" dxfId="1775" priority="295" operator="containsText" text="AXN">
      <formula>NOT(ISERROR(SEARCH("AXN",AE14)))</formula>
    </cfRule>
  </conditionalFormatting>
  <conditionalFormatting sqref="AG14">
    <cfRule type="containsText" dxfId="1774" priority="288" stopIfTrue="1" operator="containsText" text="Master">
      <formula>NOT(ISERROR(SEARCH("Master",AG14)))</formula>
    </cfRule>
    <cfRule type="containsText" dxfId="1773" priority="289" stopIfTrue="1" operator="containsText" text="Freelance Audio">
      <formula>NOT(ISERROR(SEARCH("Freelance Audio",AG14)))</formula>
    </cfRule>
    <cfRule type="containsText" dxfId="1772" priority="290" stopIfTrue="1" operator="containsText" text="Audio">
      <formula>NOT(ISERROR(SEARCH("Audio",AG14)))</formula>
    </cfRule>
  </conditionalFormatting>
  <conditionalFormatting sqref="AD14:AJ14">
    <cfRule type="expression" dxfId="1771" priority="286">
      <formula>MONTH($V$8)&lt;&gt;$AN$5</formula>
    </cfRule>
  </conditionalFormatting>
  <conditionalFormatting sqref="Q33:Q34">
    <cfRule type="containsText" dxfId="1770" priority="281" operator="containsText" text="ONE">
      <formula>NOT(ISERROR(SEARCH("ONE",Q33)))</formula>
    </cfRule>
    <cfRule type="containsText" dxfId="1769" priority="282" operator="containsText" text="GEM">
      <formula>NOT(ISERROR(SEARCH("GEM",Q33)))</formula>
    </cfRule>
    <cfRule type="containsText" dxfId="1768" priority="283" operator="containsText" text="ANIMAX">
      <formula>NOT(ISERROR(SEARCH("ANIMAX",Q33)))</formula>
    </cfRule>
    <cfRule type="containsText" dxfId="1767" priority="284" operator="containsText" text="AXN TW">
      <formula>NOT(ISERROR(SEARCH("AXN TW",Q33)))</formula>
    </cfRule>
    <cfRule type="containsText" dxfId="1766" priority="285" operator="containsText" text="AXN">
      <formula>NOT(ISERROR(SEARCH("AXN",Q33)))</formula>
    </cfRule>
  </conditionalFormatting>
  <conditionalFormatting sqref="S33:S34">
    <cfRule type="containsText" dxfId="1765" priority="278" stopIfTrue="1" operator="containsText" text="Master">
      <formula>NOT(ISERROR(SEARCH("Master",S33)))</formula>
    </cfRule>
    <cfRule type="containsText" dxfId="1764" priority="279" stopIfTrue="1" operator="containsText" text="Freelance Audio">
      <formula>NOT(ISERROR(SEARCH("Freelance Audio",S33)))</formula>
    </cfRule>
    <cfRule type="containsText" dxfId="1763" priority="280" stopIfTrue="1" operator="containsText" text="Audio">
      <formula>NOT(ISERROR(SEARCH("Audio",S33)))</formula>
    </cfRule>
  </conditionalFormatting>
  <conditionalFormatting sqref="P33:V34">
    <cfRule type="expression" dxfId="1762" priority="276">
      <formula>MONTH($V$8)&lt;&gt;$AN$5</formula>
    </cfRule>
  </conditionalFormatting>
  <conditionalFormatting sqref="Q36">
    <cfRule type="containsText" dxfId="1761" priority="271" operator="containsText" text="ONE">
      <formula>NOT(ISERROR(SEARCH("ONE",Q36)))</formula>
    </cfRule>
    <cfRule type="containsText" dxfId="1760" priority="272" operator="containsText" text="GEM">
      <formula>NOT(ISERROR(SEARCH("GEM",Q36)))</formula>
    </cfRule>
    <cfRule type="containsText" dxfId="1759" priority="273" operator="containsText" text="ANIMAX">
      <formula>NOT(ISERROR(SEARCH("ANIMAX",Q36)))</formula>
    </cfRule>
    <cfRule type="containsText" dxfId="1758" priority="274" operator="containsText" text="AXN TW">
      <formula>NOT(ISERROR(SEARCH("AXN TW",Q36)))</formula>
    </cfRule>
    <cfRule type="containsText" dxfId="1757" priority="275" operator="containsText" text="AXN">
      <formula>NOT(ISERROR(SEARCH("AXN",Q36)))</formula>
    </cfRule>
  </conditionalFormatting>
  <conditionalFormatting sqref="S36">
    <cfRule type="containsText" dxfId="1756" priority="268" stopIfTrue="1" operator="containsText" text="Master">
      <formula>NOT(ISERROR(SEARCH("Master",S36)))</formula>
    </cfRule>
    <cfRule type="containsText" dxfId="1755" priority="269" stopIfTrue="1" operator="containsText" text="Freelance Audio">
      <formula>NOT(ISERROR(SEARCH("Freelance Audio",S36)))</formula>
    </cfRule>
    <cfRule type="containsText" dxfId="1754" priority="270" stopIfTrue="1" operator="containsText" text="Audio">
      <formula>NOT(ISERROR(SEARCH("Audio",S36)))</formula>
    </cfRule>
  </conditionalFormatting>
  <conditionalFormatting sqref="P36:V36">
    <cfRule type="expression" dxfId="1753" priority="266">
      <formula>MONTH($AC$8)&lt;&gt;$AN$5</formula>
    </cfRule>
  </conditionalFormatting>
  <conditionalFormatting sqref="Q35">
    <cfRule type="containsText" dxfId="1752" priority="261" operator="containsText" text="ONE">
      <formula>NOT(ISERROR(SEARCH("ONE",Q35)))</formula>
    </cfRule>
    <cfRule type="containsText" dxfId="1751" priority="262" operator="containsText" text="GEM">
      <formula>NOT(ISERROR(SEARCH("GEM",Q35)))</formula>
    </cfRule>
    <cfRule type="containsText" dxfId="1750" priority="263" operator="containsText" text="ANIMAX">
      <formula>NOT(ISERROR(SEARCH("ANIMAX",Q35)))</formula>
    </cfRule>
    <cfRule type="containsText" dxfId="1749" priority="264" operator="containsText" text="AXN TW">
      <formula>NOT(ISERROR(SEARCH("AXN TW",Q35)))</formula>
    </cfRule>
    <cfRule type="containsText" dxfId="1748" priority="265" operator="containsText" text="AXN">
      <formula>NOT(ISERROR(SEARCH("AXN",Q35)))</formula>
    </cfRule>
  </conditionalFormatting>
  <conditionalFormatting sqref="S35">
    <cfRule type="containsText" dxfId="1747" priority="258" stopIfTrue="1" operator="containsText" text="Master">
      <formula>NOT(ISERROR(SEARCH("Master",S35)))</formula>
    </cfRule>
    <cfRule type="containsText" dxfId="1746" priority="259" stopIfTrue="1" operator="containsText" text="Freelance Audio">
      <formula>NOT(ISERROR(SEARCH("Freelance Audio",S35)))</formula>
    </cfRule>
    <cfRule type="containsText" dxfId="1745" priority="260" stopIfTrue="1" operator="containsText" text="Audio">
      <formula>NOT(ISERROR(SEARCH("Audio",S35)))</formula>
    </cfRule>
  </conditionalFormatting>
  <conditionalFormatting sqref="P35:V35">
    <cfRule type="expression" dxfId="1744" priority="256">
      <formula>MONTH($V$8)&lt;&gt;$AN$5</formula>
    </cfRule>
  </conditionalFormatting>
  <conditionalFormatting sqref="X39:X40">
    <cfRule type="containsText" dxfId="1743" priority="251" operator="containsText" text="ONE">
      <formula>NOT(ISERROR(SEARCH("ONE",X39)))</formula>
    </cfRule>
    <cfRule type="containsText" dxfId="1742" priority="252" operator="containsText" text="GEM">
      <formula>NOT(ISERROR(SEARCH("GEM",X39)))</formula>
    </cfRule>
    <cfRule type="containsText" dxfId="1741" priority="253" operator="containsText" text="ANIMAX">
      <formula>NOT(ISERROR(SEARCH("ANIMAX",X39)))</formula>
    </cfRule>
    <cfRule type="containsText" dxfId="1740" priority="254" operator="containsText" text="AXN TW">
      <formula>NOT(ISERROR(SEARCH("AXN TW",X39)))</formula>
    </cfRule>
    <cfRule type="containsText" dxfId="1739" priority="255" operator="containsText" text="AXN">
      <formula>NOT(ISERROR(SEARCH("AXN",X39)))</formula>
    </cfRule>
  </conditionalFormatting>
  <conditionalFormatting sqref="Z39:Z40">
    <cfRule type="containsText" dxfId="1738" priority="248" stopIfTrue="1" operator="containsText" text="Master">
      <formula>NOT(ISERROR(SEARCH("Master",Z39)))</formula>
    </cfRule>
    <cfRule type="containsText" dxfId="1737" priority="249" stopIfTrue="1" operator="containsText" text="Freelance Audio">
      <formula>NOT(ISERROR(SEARCH("Freelance Audio",Z39)))</formula>
    </cfRule>
    <cfRule type="containsText" dxfId="1736" priority="250" stopIfTrue="1" operator="containsText" text="Audio">
      <formula>NOT(ISERROR(SEARCH("Audio",Z39)))</formula>
    </cfRule>
  </conditionalFormatting>
  <conditionalFormatting sqref="W39:AC40">
    <cfRule type="expression" dxfId="1735" priority="246">
      <formula>MONTH($V$8)&lt;&gt;$AN$5</formula>
    </cfRule>
  </conditionalFormatting>
  <conditionalFormatting sqref="X41">
    <cfRule type="containsText" dxfId="1734" priority="241" operator="containsText" text="ONE">
      <formula>NOT(ISERROR(SEARCH("ONE",X41)))</formula>
    </cfRule>
    <cfRule type="containsText" dxfId="1733" priority="242" operator="containsText" text="GEM">
      <formula>NOT(ISERROR(SEARCH("GEM",X41)))</formula>
    </cfRule>
    <cfRule type="containsText" dxfId="1732" priority="243" operator="containsText" text="ANIMAX">
      <formula>NOT(ISERROR(SEARCH("ANIMAX",X41)))</formula>
    </cfRule>
    <cfRule type="containsText" dxfId="1731" priority="244" operator="containsText" text="AXN TW">
      <formula>NOT(ISERROR(SEARCH("AXN TW",X41)))</formula>
    </cfRule>
    <cfRule type="containsText" dxfId="1730" priority="245" operator="containsText" text="AXN">
      <formula>NOT(ISERROR(SEARCH("AXN",X41)))</formula>
    </cfRule>
  </conditionalFormatting>
  <conditionalFormatting sqref="Z41">
    <cfRule type="containsText" dxfId="1729" priority="238" stopIfTrue="1" operator="containsText" text="Master">
      <formula>NOT(ISERROR(SEARCH("Master",Z41)))</formula>
    </cfRule>
    <cfRule type="containsText" dxfId="1728" priority="239" stopIfTrue="1" operator="containsText" text="Freelance Audio">
      <formula>NOT(ISERROR(SEARCH("Freelance Audio",Z41)))</formula>
    </cfRule>
    <cfRule type="containsText" dxfId="1727" priority="240" stopIfTrue="1" operator="containsText" text="Audio">
      <formula>NOT(ISERROR(SEARCH("Audio",Z41)))</formula>
    </cfRule>
  </conditionalFormatting>
  <conditionalFormatting sqref="W41:AC41">
    <cfRule type="expression" dxfId="1726" priority="236">
      <formula>MONTH($V$8)&lt;&gt;$AN$5</formula>
    </cfRule>
  </conditionalFormatting>
  <conditionalFormatting sqref="C63">
    <cfRule type="containsText" dxfId="1725" priority="231" operator="containsText" text="ONE">
      <formula>NOT(ISERROR(SEARCH("ONE",C63)))</formula>
    </cfRule>
    <cfRule type="containsText" dxfId="1724" priority="232" operator="containsText" text="GEM">
      <formula>NOT(ISERROR(SEARCH("GEM",C63)))</formula>
    </cfRule>
    <cfRule type="containsText" dxfId="1723" priority="233" operator="containsText" text="ANIMAX">
      <formula>NOT(ISERROR(SEARCH("ANIMAX",C63)))</formula>
    </cfRule>
    <cfRule type="containsText" dxfId="1722" priority="234" operator="containsText" text="AXN TW">
      <formula>NOT(ISERROR(SEARCH("AXN TW",C63)))</formula>
    </cfRule>
    <cfRule type="containsText" dxfId="1721" priority="235" operator="containsText" text="AXN">
      <formula>NOT(ISERROR(SEARCH("AXN",C63)))</formula>
    </cfRule>
  </conditionalFormatting>
  <conditionalFormatting sqref="E63">
    <cfRule type="containsText" dxfId="1720" priority="228" stopIfTrue="1" operator="containsText" text="Master">
      <formula>NOT(ISERROR(SEARCH("Master",E63)))</formula>
    </cfRule>
    <cfRule type="containsText" dxfId="1719" priority="229" stopIfTrue="1" operator="containsText" text="Freelance Audio">
      <formula>NOT(ISERROR(SEARCH("Freelance Audio",E63)))</formula>
    </cfRule>
    <cfRule type="containsText" dxfId="1718" priority="230" stopIfTrue="1" operator="containsText" text="Audio">
      <formula>NOT(ISERROR(SEARCH("Audio",E63)))</formula>
    </cfRule>
  </conditionalFormatting>
  <conditionalFormatting sqref="C63">
    <cfRule type="containsText" dxfId="1717" priority="221" operator="containsText" text="ONE">
      <formula>NOT(ISERROR(SEARCH("ONE",C63)))</formula>
    </cfRule>
    <cfRule type="containsText" dxfId="1716" priority="222" operator="containsText" text="GEM">
      <formula>NOT(ISERROR(SEARCH("GEM",C63)))</formula>
    </cfRule>
    <cfRule type="containsText" dxfId="1715" priority="223" operator="containsText" text="ANIMAX">
      <formula>NOT(ISERROR(SEARCH("ANIMAX",C63)))</formula>
    </cfRule>
    <cfRule type="containsText" dxfId="1714" priority="224" operator="containsText" text="AXN TW">
      <formula>NOT(ISERROR(SEARCH("AXN TW",C63)))</formula>
    </cfRule>
    <cfRule type="containsText" dxfId="1713" priority="225" operator="containsText" text="AXN">
      <formula>NOT(ISERROR(SEARCH("AXN",C63)))</formula>
    </cfRule>
  </conditionalFormatting>
  <conditionalFormatting sqref="S62">
    <cfRule type="containsText" dxfId="1712" priority="217" stopIfTrue="1" operator="containsText" text="Master">
      <formula>NOT(ISERROR(SEARCH("Master",S62)))</formula>
    </cfRule>
    <cfRule type="containsText" dxfId="1711" priority="218" stopIfTrue="1" operator="containsText" text="Freelance Audio">
      <formula>NOT(ISERROR(SEARCH("Freelance Audio",S62)))</formula>
    </cfRule>
    <cfRule type="containsText" dxfId="1710" priority="219" stopIfTrue="1" operator="containsText" text="Audio">
      <formula>NOT(ISERROR(SEARCH("Audio",S62)))</formula>
    </cfRule>
  </conditionalFormatting>
  <conditionalFormatting sqref="Q62">
    <cfRule type="containsText" dxfId="1709" priority="210" operator="containsText" text="ONE">
      <formula>NOT(ISERROR(SEARCH("ONE",Q62)))</formula>
    </cfRule>
    <cfRule type="containsText" dxfId="1708" priority="211" operator="containsText" text="GEM">
      <formula>NOT(ISERROR(SEARCH("GEM",Q62)))</formula>
    </cfRule>
    <cfRule type="containsText" dxfId="1707" priority="212" operator="containsText" text="ANIMAX">
      <formula>NOT(ISERROR(SEARCH("ANIMAX",Q62)))</formula>
    </cfRule>
    <cfRule type="containsText" dxfId="1706" priority="213" operator="containsText" text="AXN TW">
      <formula>NOT(ISERROR(SEARCH("AXN TW",Q62)))</formula>
    </cfRule>
    <cfRule type="containsText" dxfId="1705" priority="214" operator="containsText" text="AXN">
      <formula>NOT(ISERROR(SEARCH("AXN",Q62)))</formula>
    </cfRule>
  </conditionalFormatting>
  <conditionalFormatting sqref="AE39">
    <cfRule type="containsText" dxfId="1704" priority="204" operator="containsText" text="ONE">
      <formula>NOT(ISERROR(SEARCH("ONE",AE39)))</formula>
    </cfRule>
    <cfRule type="containsText" dxfId="1703" priority="205" operator="containsText" text="GEM">
      <formula>NOT(ISERROR(SEARCH("GEM",AE39)))</formula>
    </cfRule>
    <cfRule type="containsText" dxfId="1702" priority="206" operator="containsText" text="ANIMAX">
      <formula>NOT(ISERROR(SEARCH("ANIMAX",AE39)))</formula>
    </cfRule>
    <cfRule type="containsText" dxfId="1701" priority="207" operator="containsText" text="AXN TW">
      <formula>NOT(ISERROR(SEARCH("AXN TW",AE39)))</formula>
    </cfRule>
    <cfRule type="containsText" dxfId="1700" priority="208" operator="containsText" text="AXN">
      <formula>NOT(ISERROR(SEARCH("AXN",AE39)))</formula>
    </cfRule>
  </conditionalFormatting>
  <conditionalFormatting sqref="AG39">
    <cfRule type="containsText" dxfId="1699" priority="201" stopIfTrue="1" operator="containsText" text="Master">
      <formula>NOT(ISERROR(SEARCH("Master",AG39)))</formula>
    </cfRule>
    <cfRule type="containsText" dxfId="1698" priority="202" stopIfTrue="1" operator="containsText" text="Freelance Audio">
      <formula>NOT(ISERROR(SEARCH("Freelance Audio",AG39)))</formula>
    </cfRule>
    <cfRule type="containsText" dxfId="1697" priority="203" stopIfTrue="1" operator="containsText" text="Audio">
      <formula>NOT(ISERROR(SEARCH("Audio",AG39)))</formula>
    </cfRule>
  </conditionalFormatting>
  <conditionalFormatting sqref="Q14">
    <cfRule type="containsText" dxfId="1696" priority="195" operator="containsText" text="ONE">
      <formula>NOT(ISERROR(SEARCH("ONE",Q14)))</formula>
    </cfRule>
    <cfRule type="containsText" dxfId="1695" priority="196" operator="containsText" text="GEM">
      <formula>NOT(ISERROR(SEARCH("GEM",Q14)))</formula>
    </cfRule>
    <cfRule type="containsText" dxfId="1694" priority="197" operator="containsText" text="ANIMAX">
      <formula>NOT(ISERROR(SEARCH("ANIMAX",Q14)))</formula>
    </cfRule>
    <cfRule type="containsText" dxfId="1693" priority="198" operator="containsText" text="AXN TW">
      <formula>NOT(ISERROR(SEARCH("AXN TW",Q14)))</formula>
    </cfRule>
    <cfRule type="containsText" dxfId="1692" priority="199" operator="containsText" text="AXN">
      <formula>NOT(ISERROR(SEARCH("AXN",Q14)))</formula>
    </cfRule>
  </conditionalFormatting>
  <conditionalFormatting sqref="P14:R14">
    <cfRule type="expression" dxfId="1691" priority="193">
      <formula>MONTH($AC$8)&lt;&gt;$AN$5</formula>
    </cfRule>
  </conditionalFormatting>
  <conditionalFormatting sqref="AC59">
    <cfRule type="expression" dxfId="1690" priority="191">
      <formula>MONTH($O$8)&lt;&gt;$AN$5</formula>
    </cfRule>
  </conditionalFormatting>
  <conditionalFormatting sqref="Q45">
    <cfRule type="containsText" dxfId="1689" priority="184" operator="containsText" text="ONE">
      <formula>NOT(ISERROR(SEARCH("ONE",Q45)))</formula>
    </cfRule>
    <cfRule type="containsText" dxfId="1688" priority="185" operator="containsText" text="GEM">
      <formula>NOT(ISERROR(SEARCH("GEM",Q45)))</formula>
    </cfRule>
    <cfRule type="containsText" dxfId="1687" priority="186" operator="containsText" text="ANIMAX">
      <formula>NOT(ISERROR(SEARCH("ANIMAX",Q45)))</formula>
    </cfRule>
    <cfRule type="containsText" dxfId="1686" priority="187" operator="containsText" text="AXN TW">
      <formula>NOT(ISERROR(SEARCH("AXN TW",Q45)))</formula>
    </cfRule>
    <cfRule type="containsText" dxfId="1685" priority="188" operator="containsText" text="AXN">
      <formula>NOT(ISERROR(SEARCH("AXN",Q45)))</formula>
    </cfRule>
  </conditionalFormatting>
  <conditionalFormatting sqref="S45">
    <cfRule type="containsText" dxfId="1684" priority="181" stopIfTrue="1" operator="containsText" text="Master">
      <formula>NOT(ISERROR(SEARCH("Master",S45)))</formula>
    </cfRule>
    <cfRule type="containsText" dxfId="1683" priority="182" stopIfTrue="1" operator="containsText" text="Freelance Audio">
      <formula>NOT(ISERROR(SEARCH("Freelance Audio",S45)))</formula>
    </cfRule>
    <cfRule type="containsText" dxfId="1682" priority="183" stopIfTrue="1" operator="containsText" text="Audio">
      <formula>NOT(ISERROR(SEARCH("Audio",S45)))</formula>
    </cfRule>
  </conditionalFormatting>
  <conditionalFormatting sqref="Q46">
    <cfRule type="containsText" dxfId="1681" priority="175" operator="containsText" text="ONE">
      <formula>NOT(ISERROR(SEARCH("ONE",Q46)))</formula>
    </cfRule>
    <cfRule type="containsText" dxfId="1680" priority="176" operator="containsText" text="GEM">
      <formula>NOT(ISERROR(SEARCH("GEM",Q46)))</formula>
    </cfRule>
    <cfRule type="containsText" dxfId="1679" priority="177" operator="containsText" text="ANIMAX">
      <formula>NOT(ISERROR(SEARCH("ANIMAX",Q46)))</formula>
    </cfRule>
    <cfRule type="containsText" dxfId="1678" priority="178" operator="containsText" text="AXN TW">
      <formula>NOT(ISERROR(SEARCH("AXN TW",Q46)))</formula>
    </cfRule>
    <cfRule type="containsText" dxfId="1677" priority="179" operator="containsText" text="AXN">
      <formula>NOT(ISERROR(SEARCH("AXN",Q46)))</formula>
    </cfRule>
  </conditionalFormatting>
  <conditionalFormatting sqref="S46">
    <cfRule type="containsText" dxfId="1676" priority="172" stopIfTrue="1" operator="containsText" text="Master">
      <formula>NOT(ISERROR(SEARCH("Master",S46)))</formula>
    </cfRule>
    <cfRule type="containsText" dxfId="1675" priority="173" stopIfTrue="1" operator="containsText" text="Freelance Audio">
      <formula>NOT(ISERROR(SEARCH("Freelance Audio",S46)))</formula>
    </cfRule>
    <cfRule type="containsText" dxfId="1674" priority="174" stopIfTrue="1" operator="containsText" text="Audio">
      <formula>NOT(ISERROR(SEARCH("Audio",S46)))</formula>
    </cfRule>
  </conditionalFormatting>
  <conditionalFormatting sqref="X51">
    <cfRule type="containsText" dxfId="1673" priority="164" operator="containsText" text="ONE">
      <formula>NOT(ISERROR(SEARCH("ONE",X51)))</formula>
    </cfRule>
    <cfRule type="containsText" dxfId="1672" priority="165" operator="containsText" text="GEM">
      <formula>NOT(ISERROR(SEARCH("GEM",X51)))</formula>
    </cfRule>
    <cfRule type="containsText" dxfId="1671" priority="166" operator="containsText" text="ANIMAX">
      <formula>NOT(ISERROR(SEARCH("ANIMAX",X51)))</formula>
    </cfRule>
    <cfRule type="containsText" dxfId="1670" priority="167" operator="containsText" text="AXN TW">
      <formula>NOT(ISERROR(SEARCH("AXN TW",X51)))</formula>
    </cfRule>
    <cfRule type="containsText" dxfId="1669" priority="168" operator="containsText" text="AXN">
      <formula>NOT(ISERROR(SEARCH("AXN",X51)))</formula>
    </cfRule>
  </conditionalFormatting>
  <conditionalFormatting sqref="X52">
    <cfRule type="containsText" dxfId="1668" priority="154" operator="containsText" text="ONE">
      <formula>NOT(ISERROR(SEARCH("ONE",X52)))</formula>
    </cfRule>
    <cfRule type="containsText" dxfId="1667" priority="155" operator="containsText" text="GEM">
      <formula>NOT(ISERROR(SEARCH("GEM",X52)))</formula>
    </cfRule>
    <cfRule type="containsText" dxfId="1666" priority="156" operator="containsText" text="ANIMAX">
      <formula>NOT(ISERROR(SEARCH("ANIMAX",X52)))</formula>
    </cfRule>
    <cfRule type="containsText" dxfId="1665" priority="157" operator="containsText" text="AXN TW">
      <formula>NOT(ISERROR(SEARCH("AXN TW",X52)))</formula>
    </cfRule>
    <cfRule type="containsText" dxfId="1664" priority="158" operator="containsText" text="AXN">
      <formula>NOT(ISERROR(SEARCH("AXN",X52)))</formula>
    </cfRule>
  </conditionalFormatting>
  <conditionalFormatting sqref="Z51:Z52">
    <cfRule type="containsText" dxfId="1663" priority="151" stopIfTrue="1" operator="containsText" text="Master">
      <formula>NOT(ISERROR(SEARCH("Master",Z51)))</formula>
    </cfRule>
    <cfRule type="containsText" dxfId="1662" priority="152" stopIfTrue="1" operator="containsText" text="Freelance Audio">
      <formula>NOT(ISERROR(SEARCH("Freelance Audio",Z51)))</formula>
    </cfRule>
    <cfRule type="containsText" dxfId="1661" priority="153" stopIfTrue="1" operator="containsText" text="Audio">
      <formula>NOT(ISERROR(SEARCH("Audio",Z51)))</formula>
    </cfRule>
  </conditionalFormatting>
  <conditionalFormatting sqref="AC52">
    <cfRule type="expression" dxfId="1660" priority="148">
      <formula>MONTH($O$8)&lt;&gt;$AN$5</formula>
    </cfRule>
  </conditionalFormatting>
  <conditionalFormatting sqref="AE50 AE52:AE55">
    <cfRule type="containsText" dxfId="1659" priority="139" operator="containsText" text="ONE">
      <formula>NOT(ISERROR(SEARCH("ONE",AE50)))</formula>
    </cfRule>
    <cfRule type="containsText" dxfId="1658" priority="140" operator="containsText" text="GEM">
      <formula>NOT(ISERROR(SEARCH("GEM",AE50)))</formula>
    </cfRule>
    <cfRule type="containsText" dxfId="1657" priority="141" operator="containsText" text="ANIMAX">
      <formula>NOT(ISERROR(SEARCH("ANIMAX",AE50)))</formula>
    </cfRule>
    <cfRule type="containsText" dxfId="1656" priority="142" operator="containsText" text="AXN TW">
      <formula>NOT(ISERROR(SEARCH("AXN TW",AE50)))</formula>
    </cfRule>
    <cfRule type="containsText" dxfId="1655" priority="143" operator="containsText" text="AXN">
      <formula>NOT(ISERROR(SEARCH("AXN",AE50)))</formula>
    </cfRule>
  </conditionalFormatting>
  <conditionalFormatting sqref="AG50 AG52:AG55">
    <cfRule type="containsText" dxfId="1654" priority="136" stopIfTrue="1" operator="containsText" text="Master">
      <formula>NOT(ISERROR(SEARCH("Master",AG50)))</formula>
    </cfRule>
    <cfRule type="containsText" dxfId="1653" priority="137" stopIfTrue="1" operator="containsText" text="Freelance Audio">
      <formula>NOT(ISERROR(SEARCH("Freelance Audio",AG50)))</formula>
    </cfRule>
    <cfRule type="containsText" dxfId="1652" priority="138" stopIfTrue="1" operator="containsText" text="Audio">
      <formula>NOT(ISERROR(SEARCH("Audio",AG50)))</formula>
    </cfRule>
  </conditionalFormatting>
  <conditionalFormatting sqref="X45">
    <cfRule type="containsText" dxfId="1651" priority="130" operator="containsText" text="ONE">
      <formula>NOT(ISERROR(SEARCH("ONE",X45)))</formula>
    </cfRule>
    <cfRule type="containsText" dxfId="1650" priority="131" operator="containsText" text="GEM">
      <formula>NOT(ISERROR(SEARCH("GEM",X45)))</formula>
    </cfRule>
    <cfRule type="containsText" dxfId="1649" priority="132" operator="containsText" text="ANIMAX">
      <formula>NOT(ISERROR(SEARCH("ANIMAX",X45)))</formula>
    </cfRule>
    <cfRule type="containsText" dxfId="1648" priority="133" operator="containsText" text="AXN TW">
      <formula>NOT(ISERROR(SEARCH("AXN TW",X45)))</formula>
    </cfRule>
    <cfRule type="containsText" dxfId="1647" priority="134" operator="containsText" text="AXN">
      <formula>NOT(ISERROR(SEARCH("AXN",X45)))</formula>
    </cfRule>
  </conditionalFormatting>
  <conditionalFormatting sqref="Z45">
    <cfRule type="containsText" dxfId="1646" priority="127" stopIfTrue="1" operator="containsText" text="Master">
      <formula>NOT(ISERROR(SEARCH("Master",Z45)))</formula>
    </cfRule>
    <cfRule type="containsText" dxfId="1645" priority="128" stopIfTrue="1" operator="containsText" text="Freelance Audio">
      <formula>NOT(ISERROR(SEARCH("Freelance Audio",Z45)))</formula>
    </cfRule>
    <cfRule type="containsText" dxfId="1644" priority="129" stopIfTrue="1" operator="containsText" text="Audio">
      <formula>NOT(ISERROR(SEARCH("Audio",Z45)))</formula>
    </cfRule>
  </conditionalFormatting>
  <conditionalFormatting sqref="J41">
    <cfRule type="containsText" dxfId="1643" priority="121" operator="containsText" text="ONE">
      <formula>NOT(ISERROR(SEARCH("ONE",J41)))</formula>
    </cfRule>
    <cfRule type="containsText" dxfId="1642" priority="122" operator="containsText" text="GEM">
      <formula>NOT(ISERROR(SEARCH("GEM",J41)))</formula>
    </cfRule>
    <cfRule type="containsText" dxfId="1641" priority="123" operator="containsText" text="ANIMAX">
      <formula>NOT(ISERROR(SEARCH("ANIMAX",J41)))</formula>
    </cfRule>
    <cfRule type="containsText" dxfId="1640" priority="124" operator="containsText" text="AXN TW">
      <formula>NOT(ISERROR(SEARCH("AXN TW",J41)))</formula>
    </cfRule>
    <cfRule type="containsText" dxfId="1639" priority="125" operator="containsText" text="AXN">
      <formula>NOT(ISERROR(SEARCH("AXN",J41)))</formula>
    </cfRule>
  </conditionalFormatting>
  <conditionalFormatting sqref="AG51">
    <cfRule type="containsText" dxfId="1638" priority="112" stopIfTrue="1" operator="containsText" text="Master">
      <formula>NOT(ISERROR(SEARCH("Master",AG51)))</formula>
    </cfRule>
    <cfRule type="containsText" dxfId="1637" priority="113" stopIfTrue="1" operator="containsText" text="Freelance Audio">
      <formula>NOT(ISERROR(SEARCH("Freelance Audio",AG51)))</formula>
    </cfRule>
    <cfRule type="containsText" dxfId="1636" priority="114" stopIfTrue="1" operator="containsText" text="Audio">
      <formula>NOT(ISERROR(SEARCH("Audio",AG51)))</formula>
    </cfRule>
  </conditionalFormatting>
  <conditionalFormatting sqref="AE51">
    <cfRule type="containsText" dxfId="1635" priority="106" operator="containsText" text="ONE">
      <formula>NOT(ISERROR(SEARCH("ONE",AE51)))</formula>
    </cfRule>
    <cfRule type="containsText" dxfId="1634" priority="107" operator="containsText" text="GEM">
      <formula>NOT(ISERROR(SEARCH("GEM",AE51)))</formula>
    </cfRule>
    <cfRule type="containsText" dxfId="1633" priority="108" operator="containsText" text="ANIMAX">
      <formula>NOT(ISERROR(SEARCH("ANIMAX",AE51)))</formula>
    </cfRule>
    <cfRule type="containsText" dxfId="1632" priority="109" operator="containsText" text="AXN TW">
      <formula>NOT(ISERROR(SEARCH("AXN TW",AE51)))</formula>
    </cfRule>
    <cfRule type="containsText" dxfId="1631" priority="110" operator="containsText" text="AXN">
      <formula>NOT(ISERROR(SEARCH("AXN",AE51)))</formula>
    </cfRule>
  </conditionalFormatting>
  <conditionalFormatting sqref="S50">
    <cfRule type="containsText" dxfId="1630" priority="102" stopIfTrue="1" operator="containsText" text="Master">
      <formula>NOT(ISERROR(SEARCH("Master",S50)))</formula>
    </cfRule>
    <cfRule type="containsText" dxfId="1629" priority="103" stopIfTrue="1" operator="containsText" text="Freelance Audio">
      <formula>NOT(ISERROR(SEARCH("Freelance Audio",S50)))</formula>
    </cfRule>
    <cfRule type="containsText" dxfId="1628" priority="104" stopIfTrue="1" operator="containsText" text="Audio">
      <formula>NOT(ISERROR(SEARCH("Audio",S50)))</formula>
    </cfRule>
  </conditionalFormatting>
  <conditionalFormatting sqref="Q50">
    <cfRule type="containsText" dxfId="1627" priority="96" operator="containsText" text="ONE">
      <formula>NOT(ISERROR(SEARCH("ONE",Q50)))</formula>
    </cfRule>
    <cfRule type="containsText" dxfId="1626" priority="97" operator="containsText" text="GEM">
      <formula>NOT(ISERROR(SEARCH("GEM",Q50)))</formula>
    </cfRule>
    <cfRule type="containsText" dxfId="1625" priority="98" operator="containsText" text="ANIMAX">
      <formula>NOT(ISERROR(SEARCH("ANIMAX",Q50)))</formula>
    </cfRule>
    <cfRule type="containsText" dxfId="1624" priority="99" operator="containsText" text="AXN TW">
      <formula>NOT(ISERROR(SEARCH("AXN TW",Q50)))</formula>
    </cfRule>
    <cfRule type="containsText" dxfId="1623" priority="100" operator="containsText" text="AXN">
      <formula>NOT(ISERROR(SEARCH("AXN",Q50)))</formula>
    </cfRule>
  </conditionalFormatting>
  <conditionalFormatting sqref="X27">
    <cfRule type="containsText" dxfId="1622" priority="90" operator="containsText" text="ONE">
      <formula>NOT(ISERROR(SEARCH("ONE",X27)))</formula>
    </cfRule>
    <cfRule type="containsText" dxfId="1621" priority="91" operator="containsText" text="GEM">
      <formula>NOT(ISERROR(SEARCH("GEM",X27)))</formula>
    </cfRule>
    <cfRule type="containsText" dxfId="1620" priority="92" operator="containsText" text="ANIMAX">
      <formula>NOT(ISERROR(SEARCH("ANIMAX",X27)))</formula>
    </cfRule>
    <cfRule type="containsText" dxfId="1619" priority="93" operator="containsText" text="AXN TW">
      <formula>NOT(ISERROR(SEARCH("AXN TW",X27)))</formula>
    </cfRule>
    <cfRule type="containsText" dxfId="1618" priority="94" operator="containsText" text="AXN">
      <formula>NOT(ISERROR(SEARCH("AXN",X27)))</formula>
    </cfRule>
  </conditionalFormatting>
  <conditionalFormatting sqref="Z27">
    <cfRule type="expression" dxfId="1617" priority="87">
      <formula>MONTH($AC$8)&lt;&gt;$AN$5</formula>
    </cfRule>
  </conditionalFormatting>
  <conditionalFormatting sqref="C40:C41">
    <cfRule type="containsText" dxfId="1616" priority="82" operator="containsText" text="ONE">
      <formula>NOT(ISERROR(SEARCH("ONE",C40)))</formula>
    </cfRule>
    <cfRule type="containsText" dxfId="1615" priority="83" operator="containsText" text="GEM">
      <formula>NOT(ISERROR(SEARCH("GEM",C40)))</formula>
    </cfRule>
    <cfRule type="containsText" dxfId="1614" priority="84" operator="containsText" text="ANIMAX">
      <formula>NOT(ISERROR(SEARCH("ANIMAX",C40)))</formula>
    </cfRule>
    <cfRule type="containsText" dxfId="1613" priority="85" operator="containsText" text="AXN TW">
      <formula>NOT(ISERROR(SEARCH("AXN TW",C40)))</formula>
    </cfRule>
    <cfRule type="containsText" dxfId="1612" priority="86" operator="containsText" text="AXN">
      <formula>NOT(ISERROR(SEARCH("AXN",C40)))</formula>
    </cfRule>
  </conditionalFormatting>
  <conditionalFormatting sqref="J52">
    <cfRule type="containsText" dxfId="1611" priority="76" operator="containsText" text="ONE">
      <formula>NOT(ISERROR(SEARCH("ONE",J52)))</formula>
    </cfRule>
    <cfRule type="containsText" dxfId="1610" priority="77" operator="containsText" text="GEM">
      <formula>NOT(ISERROR(SEARCH("GEM",J52)))</formula>
    </cfRule>
    <cfRule type="containsText" dxfId="1609" priority="78" operator="containsText" text="ANIMAX">
      <formula>NOT(ISERROR(SEARCH("ANIMAX",J52)))</formula>
    </cfRule>
    <cfRule type="containsText" dxfId="1608" priority="79" operator="containsText" text="AXN TW">
      <formula>NOT(ISERROR(SEARCH("AXN TW",J52)))</formula>
    </cfRule>
    <cfRule type="containsText" dxfId="1607" priority="80" operator="containsText" text="AXN">
      <formula>NOT(ISERROR(SEARCH("AXN",J52)))</formula>
    </cfRule>
  </conditionalFormatting>
  <conditionalFormatting sqref="AE9">
    <cfRule type="containsText" dxfId="1606" priority="70" operator="containsText" text="ONE">
      <formula>NOT(ISERROR(SEARCH("ONE",AE9)))</formula>
    </cfRule>
    <cfRule type="containsText" dxfId="1605" priority="71" operator="containsText" text="GEM">
      <formula>NOT(ISERROR(SEARCH("GEM",AE9)))</formula>
    </cfRule>
    <cfRule type="containsText" dxfId="1604" priority="72" operator="containsText" text="ANIMAX">
      <formula>NOT(ISERROR(SEARCH("ANIMAX",AE9)))</formula>
    </cfRule>
    <cfRule type="containsText" dxfId="1603" priority="73" operator="containsText" text="AXN TW">
      <formula>NOT(ISERROR(SEARCH("AXN TW",AE9)))</formula>
    </cfRule>
    <cfRule type="containsText" dxfId="1602" priority="74" operator="containsText" text="AXN">
      <formula>NOT(ISERROR(SEARCH("AXN",AE9)))</formula>
    </cfRule>
  </conditionalFormatting>
  <conditionalFormatting sqref="AG9">
    <cfRule type="containsText" dxfId="1601" priority="67" stopIfTrue="1" operator="containsText" text="Master">
      <formula>NOT(ISERROR(SEARCH("Master",AG9)))</formula>
    </cfRule>
    <cfRule type="containsText" dxfId="1600" priority="68" stopIfTrue="1" operator="containsText" text="Freelance Audio">
      <formula>NOT(ISERROR(SEARCH("Freelance Audio",AG9)))</formula>
    </cfRule>
    <cfRule type="containsText" dxfId="1599" priority="69" stopIfTrue="1" operator="containsText" text="Audio">
      <formula>NOT(ISERROR(SEARCH("Audio",AG9)))</formula>
    </cfRule>
  </conditionalFormatting>
  <conditionalFormatting sqref="AD9:AJ9 AF10">
    <cfRule type="expression" dxfId="1598" priority="65">
      <formula>MONTH($O$8)&lt;&gt;$AN$5</formula>
    </cfRule>
  </conditionalFormatting>
  <conditionalFormatting sqref="C28">
    <cfRule type="containsText" dxfId="1597" priority="60" operator="containsText" text="ONE">
      <formula>NOT(ISERROR(SEARCH("ONE",C28)))</formula>
    </cfRule>
    <cfRule type="containsText" dxfId="1596" priority="61" operator="containsText" text="GEM">
      <formula>NOT(ISERROR(SEARCH("GEM",C28)))</formula>
    </cfRule>
    <cfRule type="containsText" dxfId="1595" priority="62" operator="containsText" text="ANIMAX">
      <formula>NOT(ISERROR(SEARCH("ANIMAX",C28)))</formula>
    </cfRule>
    <cfRule type="containsText" dxfId="1594" priority="63" operator="containsText" text="AXN TW">
      <formula>NOT(ISERROR(SEARCH("AXN TW",C28)))</formula>
    </cfRule>
    <cfRule type="containsText" dxfId="1593" priority="64" operator="containsText" text="AXN">
      <formula>NOT(ISERROR(SEARCH("AXN",C28)))</formula>
    </cfRule>
  </conditionalFormatting>
  <conditionalFormatting sqref="E28">
    <cfRule type="containsText" dxfId="1592" priority="57" stopIfTrue="1" operator="containsText" text="Master">
      <formula>NOT(ISERROR(SEARCH("Master",E28)))</formula>
    </cfRule>
    <cfRule type="containsText" dxfId="1591" priority="58" stopIfTrue="1" operator="containsText" text="Freelance Audio">
      <formula>NOT(ISERROR(SEARCH("Freelance Audio",E28)))</formula>
    </cfRule>
    <cfRule type="containsText" dxfId="1590" priority="59" stopIfTrue="1" operator="containsText" text="Audio">
      <formula>NOT(ISERROR(SEARCH("Audio",E28)))</formula>
    </cfRule>
  </conditionalFormatting>
  <conditionalFormatting sqref="B28:C28 E28:H28">
    <cfRule type="expression" dxfId="1589" priority="55">
      <formula>MONTH($AJ$8)&lt;&gt;$AN$5</formula>
    </cfRule>
  </conditionalFormatting>
  <conditionalFormatting sqref="D28">
    <cfRule type="expression" dxfId="1588" priority="53">
      <formula>MONTH($O$8)&lt;&gt;$AN$5</formula>
    </cfRule>
  </conditionalFormatting>
  <conditionalFormatting sqref="W10:AC10">
    <cfRule type="expression" dxfId="1457" priority="51">
      <formula>MONTH($V$8)&lt;&gt;$AN$5</formula>
    </cfRule>
  </conditionalFormatting>
  <conditionalFormatting sqref="J27">
    <cfRule type="containsText" dxfId="1455" priority="36" operator="containsText" text="ONE">
      <formula>NOT(ISERROR(SEARCH("ONE",J27)))</formula>
    </cfRule>
    <cfRule type="containsText" dxfId="1454" priority="37" operator="containsText" text="GEM">
      <formula>NOT(ISERROR(SEARCH("GEM",J27)))</formula>
    </cfRule>
    <cfRule type="containsText" dxfId="1453" priority="38" operator="containsText" text="ANIMAX">
      <formula>NOT(ISERROR(SEARCH("ANIMAX",J27)))</formula>
    </cfRule>
    <cfRule type="containsText" dxfId="1452" priority="39" operator="containsText" text="AXN TW">
      <formula>NOT(ISERROR(SEARCH("AXN TW",J27)))</formula>
    </cfRule>
    <cfRule type="containsText" dxfId="1451" priority="40" operator="containsText" text="AXN">
      <formula>NOT(ISERROR(SEARCH("AXN",J27)))</formula>
    </cfRule>
  </conditionalFormatting>
  <conditionalFormatting sqref="L27">
    <cfRule type="containsText" dxfId="1450" priority="33" stopIfTrue="1" operator="containsText" text="Master">
      <formula>NOT(ISERROR(SEARCH("Master",L27)))</formula>
    </cfRule>
    <cfRule type="containsText" dxfId="1449" priority="34" stopIfTrue="1" operator="containsText" text="Freelance Audio">
      <formula>NOT(ISERROR(SEARCH("Freelance Audio",L27)))</formula>
    </cfRule>
    <cfRule type="containsText" dxfId="1448" priority="35" stopIfTrue="1" operator="containsText" text="Audio">
      <formula>NOT(ISERROR(SEARCH("Audio",L27)))</formula>
    </cfRule>
  </conditionalFormatting>
  <conditionalFormatting sqref="I27:O27">
    <cfRule type="expression" dxfId="1447" priority="31">
      <formula>MONTH($V$8)&lt;&gt;$AN$5</formula>
    </cfRule>
  </conditionalFormatting>
  <conditionalFormatting sqref="J26">
    <cfRule type="containsText" dxfId="1445" priority="26" operator="containsText" text="ONE">
      <formula>NOT(ISERROR(SEARCH("ONE",J26)))</formula>
    </cfRule>
    <cfRule type="containsText" dxfId="1444" priority="27" operator="containsText" text="GEM">
      <formula>NOT(ISERROR(SEARCH("GEM",J26)))</formula>
    </cfRule>
    <cfRule type="containsText" dxfId="1443" priority="28" operator="containsText" text="ANIMAX">
      <formula>NOT(ISERROR(SEARCH("ANIMAX",J26)))</formula>
    </cfRule>
    <cfRule type="containsText" dxfId="1442" priority="29" operator="containsText" text="AXN TW">
      <formula>NOT(ISERROR(SEARCH("AXN TW",J26)))</formula>
    </cfRule>
    <cfRule type="containsText" dxfId="1441" priority="30" operator="containsText" text="AXN">
      <formula>NOT(ISERROR(SEARCH("AXN",J26)))</formula>
    </cfRule>
  </conditionalFormatting>
  <conditionalFormatting sqref="L26">
    <cfRule type="containsText" dxfId="1440" priority="23" stopIfTrue="1" operator="containsText" text="Master">
      <formula>NOT(ISERROR(SEARCH("Master",L26)))</formula>
    </cfRule>
    <cfRule type="containsText" dxfId="1439" priority="24" stopIfTrue="1" operator="containsText" text="Freelance Audio">
      <formula>NOT(ISERROR(SEARCH("Freelance Audio",L26)))</formula>
    </cfRule>
    <cfRule type="containsText" dxfId="1438" priority="25" stopIfTrue="1" operator="containsText" text="Audio">
      <formula>NOT(ISERROR(SEARCH("Audio",L26)))</formula>
    </cfRule>
  </conditionalFormatting>
  <conditionalFormatting sqref="C26">
    <cfRule type="containsText" dxfId="1437" priority="18" operator="containsText" text="ONE">
      <formula>NOT(ISERROR(SEARCH("ONE",C26)))</formula>
    </cfRule>
    <cfRule type="containsText" dxfId="1436" priority="19" operator="containsText" text="GEM">
      <formula>NOT(ISERROR(SEARCH("GEM",C26)))</formula>
    </cfRule>
    <cfRule type="containsText" dxfId="1435" priority="20" operator="containsText" text="ANIMAX">
      <formula>NOT(ISERROR(SEARCH("ANIMAX",C26)))</formula>
    </cfRule>
    <cfRule type="containsText" dxfId="1434" priority="21" operator="containsText" text="AXN TW">
      <formula>NOT(ISERROR(SEARCH("AXN TW",C26)))</formula>
    </cfRule>
    <cfRule type="containsText" dxfId="1433" priority="22" operator="containsText" text="AXN">
      <formula>NOT(ISERROR(SEARCH("AXN",C26)))</formula>
    </cfRule>
  </conditionalFormatting>
  <conditionalFormatting sqref="E26">
    <cfRule type="containsText" dxfId="1432" priority="15" stopIfTrue="1" operator="containsText" text="Master">
      <formula>NOT(ISERROR(SEARCH("Master",E26)))</formula>
    </cfRule>
    <cfRule type="containsText" dxfId="1431" priority="16" stopIfTrue="1" operator="containsText" text="Freelance Audio">
      <formula>NOT(ISERROR(SEARCH("Freelance Audio",E26)))</formula>
    </cfRule>
    <cfRule type="containsText" dxfId="1430" priority="17" stopIfTrue="1" operator="containsText" text="Audio">
      <formula>NOT(ISERROR(SEARCH("Audio",E26)))</formula>
    </cfRule>
  </conditionalFormatting>
  <conditionalFormatting sqref="B26:H26">
    <cfRule type="expression" dxfId="1429" priority="13">
      <formula>MONTH($V$8)&lt;&gt;$AN$5</formula>
    </cfRule>
  </conditionalFormatting>
  <conditionalFormatting sqref="AE15">
    <cfRule type="containsText" dxfId="1427" priority="8" operator="containsText" text="ONE">
      <formula>NOT(ISERROR(SEARCH("ONE",AE15)))</formula>
    </cfRule>
    <cfRule type="containsText" dxfId="1426" priority="9" operator="containsText" text="GEM">
      <formula>NOT(ISERROR(SEARCH("GEM",AE15)))</formula>
    </cfRule>
    <cfRule type="containsText" dxfId="1425" priority="10" operator="containsText" text="ANIMAX">
      <formula>NOT(ISERROR(SEARCH("ANIMAX",AE15)))</formula>
    </cfRule>
    <cfRule type="containsText" dxfId="1424" priority="11" operator="containsText" text="AXN TW">
      <formula>NOT(ISERROR(SEARCH("AXN TW",AE15)))</formula>
    </cfRule>
    <cfRule type="containsText" dxfId="1423" priority="12" operator="containsText" text="AXN">
      <formula>NOT(ISERROR(SEARCH("AXN",AE15)))</formula>
    </cfRule>
  </conditionalFormatting>
  <conditionalFormatting sqref="AG15">
    <cfRule type="containsText" dxfId="1422" priority="5" stopIfTrue="1" operator="containsText" text="Master">
      <formula>NOT(ISERROR(SEARCH("Master",AG15)))</formula>
    </cfRule>
    <cfRule type="containsText" dxfId="1421" priority="6" stopIfTrue="1" operator="containsText" text="Freelance Audio">
      <formula>NOT(ISERROR(SEARCH("Freelance Audio",AG15)))</formula>
    </cfRule>
    <cfRule type="containsText" dxfId="1420" priority="7" stopIfTrue="1" operator="containsText" text="Audio">
      <formula>NOT(ISERROR(SEARCH("Audio",AG15)))</formula>
    </cfRule>
  </conditionalFormatting>
  <conditionalFormatting sqref="AD15:AJ15">
    <cfRule type="expression" dxfId="1419" priority="3">
      <formula>MONTH($V$8)&lt;&gt;$AN$5</formula>
    </cfRule>
  </conditionalFormatting>
  <conditionalFormatting sqref="AJ16">
    <cfRule type="expression" dxfId="1417" priority="1">
      <formula>MONTH($AJ$8)&lt;&gt;$AN$5</formula>
    </cfRule>
  </conditionalFormatting>
  <dataValidations count="5">
    <dataValidation type="list" allowBlank="1" showInputMessage="1" showErrorMessage="1" sqref="G9:G19 N9:N19 AB57:AB67 AB33:AB43 G21:G31 U57:U67 AB9:AB19 U21:U31 AI69:AI79 AI21:AI31 U9:U19 G45:G55 U45:U55 AB21:AB31 G57:G67 G33:G43 AI33:AI43 U33:U43 N33:N43 AB45:AB55 AI45:AI55 N57:N67 N45:N55 AI57:AI67 G69:G79 N69:N79 U69:U79 AB69:AB79 N21:N31 AI9:AI15 AI17:AI19" xr:uid="{F819ACA6-BF8E-47A3-9A70-DD13318AF3BC}">
      <formula1>"0.5,1,1.5,2,2.5,3,3.5,4,4.5,5,5.5,6,6.5,7,7.5,8"</formula1>
    </dataValidation>
    <dataValidation type="list" allowBlank="1" showInputMessage="1" showErrorMessage="1" sqref="F9:F19 M9:M19 AA57:AA67 AA33:AA43 F21:F31 T57:T67 AA9:AA19 T21:T31 AH69:AH79 AH21:AH31 T9:T19 F45:F55 T45:T55 AA21:AA31 F57:F67 F33:F43 AH33:AH43 T33:T43 M33:M43 AA45:AA55 AH45:AH55 M57:M67 M45:M55 AH57:AH67 F69:F79 M69:M79 T69:T79 AA69:AA79 M21:M31 AH9:AH15 AH17:AH19" xr:uid="{2F0904F5-86BE-4752-A04F-8B897CDB7E0C}">
      <formula1>"AM, PM"</formula1>
    </dataValidation>
    <dataValidation type="list" allowBlank="1" showInputMessage="1" showErrorMessage="1" sqref="E9:E19 L9:L19 Z57:Z67 Z33:Z43 E21:E31 S57:S67 Z9:Z19 S21:S31 AG69:AG79 AG21:AG31 S9:S19 E45:E55 Z21:Z31 S45:S55 E57:E67 Z45:Z55 AG45:AG55 S33:S43 L33:L43 E33:E43 AG33:AG43 L57:L67 L45:L55 AG57:AG67 E69:E79 L69:L79 S69:S79 Z69:Z79 L21:L31 AG9:AG15 AG17:AG19" xr:uid="{12DF92C7-4A9C-46F4-91DD-96933D047C09}">
      <formula1>"Audio,Freelance Audio,Master"</formula1>
    </dataValidation>
    <dataValidation type="list" allowBlank="1" showInputMessage="1" showErrorMessage="1" sqref="C9:C19 J9:J19 C21:C31 X33:X43 Q9:Q19 Q57:Q67 X9:X19 Q21:Q31 AE69:AE79 AE21:AE31 AE45:AE55 C45:C55 J45:J55 Q45:Q55 C57:C67 X21:X31 X57:X67 Q33:Q43 J33:J43 X45:X55 AE33:AE43 J57:J67 C33:C43 AE57:AE67 C69:C79 J69:J79 Q69:Q79 X69:X79 J21:J31 AE9:AE15 AE17:AE19" xr:uid="{CAF899B7-DA8A-448A-A14F-D8D714DD5455}">
      <formula1>"ANIMAX,AXN,AXN TW,GEM,ONE"</formula1>
    </dataValidation>
    <dataValidation type="list" allowBlank="1" showInputMessage="1" showErrorMessage="1" sqref="B9:B19 I9:I19 W57:W67 W33:W43 P9:P19 P57:P67 W9:W19 P21:P31 I33:I43 AD21:AD31 AD47:AD55 B45:B55 I45:I55 P45:P55 B57:B67 W21:W31 B21:B31 P33:P43 W45:W55 AD33:AD43 I57:I67 B33:B43 AD57:AD67 B69:B79 I69:I79 P69:P79 W69:W79 AD69:AD79 AD45 I21:I31 AD9:AD15 AD17:AD19" xr:uid="{93E3C5DA-9D6E-48CA-81A4-1401194685DD}">
      <formula1>"DANIEL,JESSIE,NATASHA,SUSAN,WAYNE,DOROTHY,MARIA,CATH,FREELANCER"</formula1>
    </dataValidation>
  </dataValidations>
  <pageMargins left="0.7" right="0.7" top="0.75" bottom="0.75" header="0.3" footer="0.3"/>
  <pageSetup paperSize="9" scale="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Spinner 1">
              <controlPr locked="0" defaultSize="0" print="0" autoPict="0" altText="YEAR">
                <anchor moveWithCells="1" sizeWithCells="1">
                  <from>
                    <xdr:col>40</xdr:col>
                    <xdr:colOff>0</xdr:colOff>
                    <xdr:row>1</xdr:row>
                    <xdr:rowOff>571500</xdr:rowOff>
                  </from>
                  <to>
                    <xdr:col>41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Spinner 2">
              <controlPr locked="0" defaultSize="0" print="0" autoPict="0">
                <anchor moveWithCells="1" sizeWithCells="1">
                  <from>
                    <xdr:col>39</xdr:col>
                    <xdr:colOff>904875</xdr:colOff>
                    <xdr:row>4</xdr:row>
                    <xdr:rowOff>0</xdr:rowOff>
                  </from>
                  <to>
                    <xdr:col>40</xdr:col>
                    <xdr:colOff>457200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locked="0" defaultSize="0" print="0" autoFill="0" autoPict="0" macro="[0]!GenerateBookingSheet" altText="GENERATE">
                <anchor moveWithCells="1" sizeWithCells="1">
                  <from>
                    <xdr:col>41</xdr:col>
                    <xdr:colOff>419100</xdr:colOff>
                    <xdr:row>1</xdr:row>
                    <xdr:rowOff>9525</xdr:rowOff>
                  </from>
                  <to>
                    <xdr:col>46</xdr:col>
                    <xdr:colOff>342900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59" id="{E60334FA-78A7-4E4D-BBF4-BB20F8BC84BD}">
            <xm:f>MATCH($H$8,HOLIDAYS!$B$2:$B$22,0)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B9:H19</xm:sqref>
        </x14:conditionalFormatting>
        <x14:conditionalFormatting xmlns:xm="http://schemas.microsoft.com/office/excel/2006/main">
          <x14:cfRule type="expression" priority="658" id="{78C429DA-60F8-41D6-B6F5-8C9051998F73}">
            <xm:f>MATCH($O$8,HOLIDAYS!$B$2:$B$22,0)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I9:O19</xm:sqref>
        </x14:conditionalFormatting>
        <x14:conditionalFormatting xmlns:xm="http://schemas.microsoft.com/office/excel/2006/main">
          <x14:cfRule type="expression" priority="657" id="{225D2159-B0DC-4A97-BB07-A5E03A021046}">
            <xm:f>MATCH($V$8,HOLIDAYS!$B$2:$B$22,0)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P9:V13 P15:V19 S14:V14</xm:sqref>
        </x14:conditionalFormatting>
        <x14:conditionalFormatting xmlns:xm="http://schemas.microsoft.com/office/excel/2006/main">
          <x14:cfRule type="expression" priority="660" id="{24D8BD2F-C00B-40A4-BC81-56524E4AFEBE}">
            <xm:f>MATCH($AJ$8,HOLIDAYS!$B$2:$B$22,0)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AD11:AJ13 AD17:AJ19 AD10:AE10 AG10:AJ10</xm:sqref>
        </x14:conditionalFormatting>
        <x14:conditionalFormatting xmlns:xm="http://schemas.microsoft.com/office/excel/2006/main">
          <x14:cfRule type="expression" priority="656" id="{F17A6C35-60C4-4FE0-96CE-291CDC4B2E07}">
            <xm:f>MATCH($AC$8,HOLIDAYS!$B$2:$B$22,0)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W18:AC19 W11:AC16</xm:sqref>
        </x14:conditionalFormatting>
        <x14:conditionalFormatting xmlns:xm="http://schemas.microsoft.com/office/excel/2006/main">
          <x14:cfRule type="expression" priority="654" id="{F398E18F-9BEF-44A3-915B-CBF5B66982BB}">
            <xm:f>MATCH($AJ$68,HOLIDAYS!$B$2:$B$22,0)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AD69:AJ79</xm:sqref>
        </x14:conditionalFormatting>
        <x14:conditionalFormatting xmlns:xm="http://schemas.microsoft.com/office/excel/2006/main">
          <x14:cfRule type="expression" priority="653" id="{67B976F1-A8F8-4EF9-ACD6-E800D6A79182}">
            <xm:f>MATCH($AC$68,HOLIDAYS!$B$2:$B$22,0)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W69:AC79</xm:sqref>
        </x14:conditionalFormatting>
        <x14:conditionalFormatting xmlns:xm="http://schemas.microsoft.com/office/excel/2006/main">
          <x14:cfRule type="expression" priority="652" id="{2958A1EF-8377-423E-92C5-DCE1E5899A94}">
            <xm:f>MATCH($V$68,HOLIDAYS!$B$2:$B$22,0)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P69:V79</xm:sqref>
        </x14:conditionalFormatting>
        <x14:conditionalFormatting xmlns:xm="http://schemas.microsoft.com/office/excel/2006/main">
          <x14:cfRule type="expression" priority="651" id="{4AD35B4B-30E6-433C-B45F-5A7B8058EC80}">
            <xm:f>MATCH($O$68,HOLIDAYS!$B$2:$B$22,0)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I69:O79</xm:sqref>
        </x14:conditionalFormatting>
        <x14:conditionalFormatting xmlns:xm="http://schemas.microsoft.com/office/excel/2006/main">
          <x14:cfRule type="expression" priority="650" id="{E798919D-9618-4771-923A-B712A4A9A631}">
            <xm:f>MATCH($H$68,HOLIDAYS!$B$2:$B$22,0)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B69:H79</xm:sqref>
        </x14:conditionalFormatting>
        <x14:conditionalFormatting xmlns:xm="http://schemas.microsoft.com/office/excel/2006/main">
          <x14:cfRule type="expression" priority="649" id="{1975E693-421E-40F5-9268-A2EFE03143BD}">
            <xm:f>MATCH($AJ$56,HOLIDAYS!$B$2:$B$22,0)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AD57:AJ67</xm:sqref>
        </x14:conditionalFormatting>
        <x14:conditionalFormatting xmlns:xm="http://schemas.microsoft.com/office/excel/2006/main">
          <x14:cfRule type="expression" priority="648" id="{2A97E422-6411-4002-BC51-21BA75A79C77}">
            <xm:f>MATCH($AC$56,HOLIDAYS!$B$2:$B$22,0)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W63:AC63 W65:AC67 W57:AC58 W60:AC61 W59:AB59</xm:sqref>
        </x14:conditionalFormatting>
        <x14:conditionalFormatting xmlns:xm="http://schemas.microsoft.com/office/excel/2006/main">
          <x14:cfRule type="expression" priority="647" id="{584AB1DB-8A7C-4AED-AD01-1E0EEA4DB780}">
            <xm:f>MATCH($V$56,HOLIDAYS!$B$2:$B$22,0)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P60:V61 P63:V67 V62</xm:sqref>
        </x14:conditionalFormatting>
        <x14:conditionalFormatting xmlns:xm="http://schemas.microsoft.com/office/excel/2006/main">
          <x14:cfRule type="expression" priority="646" id="{A4CB671A-594D-4115-80E5-26FACD3351B9}">
            <xm:f>MATCH($O$56,HOLIDAYS!$B$2:$B$22,0)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I60:O61 I64:O67</xm:sqref>
        </x14:conditionalFormatting>
        <x14:conditionalFormatting xmlns:xm="http://schemas.microsoft.com/office/excel/2006/main">
          <x14:cfRule type="expression" priority="645" id="{F6BA8B4C-31CC-438B-AC75-722930E3BF94}">
            <xm:f>MATCH($H$56,HOLIDAYS!$B$2:$B$22,0)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B57:H61 B64:H67</xm:sqref>
        </x14:conditionalFormatting>
        <x14:conditionalFormatting xmlns:xm="http://schemas.microsoft.com/office/excel/2006/main">
          <x14:cfRule type="expression" priority="644" id="{9605AC48-2DBD-4D4A-898F-A59476BB612E}">
            <xm:f>MATCH($H$20,HOLIDAYS!$B$2:$B$22,0)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B21:H21 B23:H25 B27:H31</xm:sqref>
        </x14:conditionalFormatting>
        <x14:conditionalFormatting xmlns:xm="http://schemas.microsoft.com/office/excel/2006/main">
          <x14:cfRule type="expression" priority="637" id="{04567081-C972-4E0A-B9D0-29E5A2EEBC60}">
            <xm:f>MATCH($O$20,HOLIDAYS!$B$2:$B$22,0)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I21:O25 I28:O31</xm:sqref>
        </x14:conditionalFormatting>
        <x14:conditionalFormatting xmlns:xm="http://schemas.microsoft.com/office/excel/2006/main">
          <x14:cfRule type="expression" priority="636" id="{A2B519CF-B339-43B4-8961-4A4EE5E0C032}">
            <xm:f>MATCH($V$20,HOLIDAYS!$B$2:$B$22,0)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P21:V31</xm:sqref>
        </x14:conditionalFormatting>
        <x14:conditionalFormatting xmlns:xm="http://schemas.microsoft.com/office/excel/2006/main">
          <x14:cfRule type="expression" priority="635" id="{795EC23D-F438-44CC-8A2D-4A6E5EA96EEB}">
            <xm:f>MATCH($AC$20,HOLIDAYS!$B$2:$B$22,0)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W21:AC25 W28:AC31 AA27:AC27</xm:sqref>
        </x14:conditionalFormatting>
        <x14:conditionalFormatting xmlns:xm="http://schemas.microsoft.com/office/excel/2006/main">
          <x14:cfRule type="expression" priority="634" id="{6ED91D43-DCA6-455C-AD42-DDB81D0F8547}">
            <xm:f>MATCH($AJ$20,HOLIDAYS!$B$2:$B$22,0)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AD21:AJ31</xm:sqref>
        </x14:conditionalFormatting>
        <x14:conditionalFormatting xmlns:xm="http://schemas.microsoft.com/office/excel/2006/main">
          <x14:cfRule type="expression" priority="633" id="{7E712E87-0112-4845-808F-75FBC378A381}">
            <xm:f>MATCH($H$32,HOLIDAYS!$B$2:$B$22,0)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B35:H37 B39:H39 B42:H43 E40:H41</xm:sqref>
        </x14:conditionalFormatting>
        <x14:conditionalFormatting xmlns:xm="http://schemas.microsoft.com/office/excel/2006/main">
          <x14:cfRule type="expression" priority="632" id="{24474237-CA74-48D3-8B3F-0D6D6E412F1B}">
            <xm:f>MATCH($O$32,HOLIDAYS!$B$2:$B$22,0)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I35:O37 I42:O43 I40:K40 O40</xm:sqref>
        </x14:conditionalFormatting>
        <x14:conditionalFormatting xmlns:xm="http://schemas.microsoft.com/office/excel/2006/main">
          <x14:cfRule type="expression" priority="631" id="{A256FAC2-11E2-4101-888C-544C08AF0537}">
            <xm:f>MATCH($V$32,HOLIDAYS!$B$2:$B$22,0)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P37:V43</xm:sqref>
        </x14:conditionalFormatting>
        <x14:conditionalFormatting xmlns:xm="http://schemas.microsoft.com/office/excel/2006/main">
          <x14:cfRule type="expression" priority="630" id="{35D731A4-BB5B-4872-A0AF-E26627968F53}">
            <xm:f>MATCH($AC$32,HOLIDAYS!$B$2:$B$22,0)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W33:AC37 W42:AC43</xm:sqref>
        </x14:conditionalFormatting>
        <x14:conditionalFormatting xmlns:xm="http://schemas.microsoft.com/office/excel/2006/main">
          <x14:cfRule type="expression" priority="629" id="{205B5870-CAFB-4A71-B1FC-D9EAD7D7A29A}">
            <xm:f>MATCH($AJ$32,HOLIDAYS!$B$2:$B$22,0)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AD40:AJ43 AD35:AJ37</xm:sqref>
        </x14:conditionalFormatting>
        <x14:conditionalFormatting xmlns:xm="http://schemas.microsoft.com/office/excel/2006/main">
          <x14:cfRule type="expression" priority="628" id="{CDDD1B84-1554-4B2D-8934-526D3F07DD8D}">
            <xm:f>MATCH($H$44,HOLIDAYS!$B$2:$B$22,0)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B45:H50 B52:H55</xm:sqref>
        </x14:conditionalFormatting>
        <x14:conditionalFormatting xmlns:xm="http://schemas.microsoft.com/office/excel/2006/main">
          <x14:cfRule type="expression" priority="627" id="{8C953095-2DAA-45BA-9563-B81112AC0794}">
            <xm:f>MATCH($O$44,HOLIDAYS!$B$2:$B$22,0)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I47:O50 I53:O55 L52:O52</xm:sqref>
        </x14:conditionalFormatting>
        <x14:conditionalFormatting xmlns:xm="http://schemas.microsoft.com/office/excel/2006/main">
          <x14:cfRule type="expression" priority="626" id="{A34BD06C-9EE6-4935-8CD7-9DA065DD7C5F}">
            <xm:f>MATCH($V$44,HOLIDAYS!$B$2:$B$22,0)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P47:V49 T46:U46 P51:V55</xm:sqref>
        </x14:conditionalFormatting>
        <x14:conditionalFormatting xmlns:xm="http://schemas.microsoft.com/office/excel/2006/main">
          <x14:cfRule type="expression" priority="625" id="{104044CF-922A-44C0-A8E2-A9AF201B921C}">
            <xm:f>MATCH($AC$44,HOLIDAYS!$B$2:$B$22,0)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W46:AC49 W53:AC55</xm:sqref>
        </x14:conditionalFormatting>
        <x14:conditionalFormatting xmlns:xm="http://schemas.microsoft.com/office/excel/2006/main">
          <x14:cfRule type="expression" priority="624" id="{CE9A44A3-A36E-48AC-80F2-9F79849FCF2D}">
            <xm:f>MATCH($AJ$44,HOLIDAYS!$B$2:$B$22,0)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AD45:AJ49</xm:sqref>
        </x14:conditionalFormatting>
        <x14:conditionalFormatting xmlns:xm="http://schemas.microsoft.com/office/excel/2006/main">
          <x14:cfRule type="expression" priority="638" id="{07371038-48DA-4521-B518-C90954A97848}">
            <xm:f>MATCH($B$20,HOLIDAYS!$D$2:$D$22,0)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B20:H20</xm:sqref>
        </x14:conditionalFormatting>
        <x14:conditionalFormatting xmlns:xm="http://schemas.microsoft.com/office/excel/2006/main">
          <x14:cfRule type="expression" priority="661" id="{B04CC78D-F6D2-44D8-A9F1-042852503041}">
            <xm:f>MATCH($B$8,HOLIDAYS!$D$2:$D$22,0)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B8:H8</xm:sqref>
        </x14:conditionalFormatting>
        <x14:conditionalFormatting xmlns:xm="http://schemas.microsoft.com/office/excel/2006/main">
          <x14:cfRule type="expression" priority="641" id="{C9E3D1E7-0014-417C-8183-E3C8C1EDBD48}">
            <xm:f>MATCH($I$8,HOLIDAYS!$D$2:$D$22,0)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I8:O8</xm:sqref>
        </x14:conditionalFormatting>
        <x14:conditionalFormatting xmlns:xm="http://schemas.microsoft.com/office/excel/2006/main">
          <x14:cfRule type="expression" priority="640" id="{8D7EBCAD-2F71-4B81-8EE6-BF5C12916716}">
            <xm:f>MATCH($P$8,HOLIDAYS!$D$2:$D$22,0)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P8:V8</xm:sqref>
        </x14:conditionalFormatting>
        <x14:conditionalFormatting xmlns:xm="http://schemas.microsoft.com/office/excel/2006/main">
          <x14:cfRule type="expression" priority="639" id="{B65D7881-979D-4951-976E-8DBD939A326E}">
            <xm:f>MATCH($W$8,HOLIDAYS!$D$2:$D$22,0)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W8:AC8</xm:sqref>
        </x14:conditionalFormatting>
        <x14:conditionalFormatting xmlns:xm="http://schemas.microsoft.com/office/excel/2006/main">
          <x14:cfRule type="expression" priority="655" id="{BB77A1FC-C72D-49BD-A012-1F699DF741BF}">
            <xm:f>MATCH($AD$8,HOLIDAYS!$D$2:$D$22,0)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AD8:AJ8</xm:sqref>
        </x14:conditionalFormatting>
        <x14:conditionalFormatting xmlns:xm="http://schemas.microsoft.com/office/excel/2006/main">
          <x14:cfRule type="expression" priority="608" id="{F49CE99C-EB27-48AB-9002-564824E3DC50}">
            <xm:f>MATCH($I$20,HOLIDAYS!$D$2:$D$22,0)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I20:O20</xm:sqref>
        </x14:conditionalFormatting>
        <x14:conditionalFormatting xmlns:xm="http://schemas.microsoft.com/office/excel/2006/main">
          <x14:cfRule type="expression" priority="607" id="{4730C4F2-1A24-4409-A5C3-9C8B9ABAAB94}">
            <xm:f>MATCH($P$20,HOLIDAYS!$D$2:$D$22,0)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P20:V20</xm:sqref>
        </x14:conditionalFormatting>
        <x14:conditionalFormatting xmlns:xm="http://schemas.microsoft.com/office/excel/2006/main">
          <x14:cfRule type="expression" priority="606" id="{058870C4-0A45-47AA-B16C-02FA543DBB9D}">
            <xm:f>MATCH($W$20,HOLIDAYS!$D$2:$D$22,0)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W20:AC20</xm:sqref>
        </x14:conditionalFormatting>
        <x14:conditionalFormatting xmlns:xm="http://schemas.microsoft.com/office/excel/2006/main">
          <x14:cfRule type="expression" priority="605" id="{2893EAE3-5E77-46F5-AA87-66D1B15C473D}">
            <xm:f>MATCH($AD$20,HOLIDAYS!$D$2:$D$22,0)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AD20:AJ20</xm:sqref>
        </x14:conditionalFormatting>
        <x14:conditionalFormatting xmlns:xm="http://schemas.microsoft.com/office/excel/2006/main">
          <x14:cfRule type="expression" priority="604" id="{30E9E772-ADF9-40C7-8AD0-F5C6900FC201}">
            <xm:f>MATCH($B$32,HOLIDAYS!$D$2:$D$22,0)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B32:H32</xm:sqref>
        </x14:conditionalFormatting>
        <x14:conditionalFormatting xmlns:xm="http://schemas.microsoft.com/office/excel/2006/main">
          <x14:cfRule type="expression" priority="603" id="{51E2B893-32F2-4466-98AF-D2116069A8BD}">
            <xm:f>MATCH($I$32,HOLIDAYS!$D$2:$D$22,0)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I32:O32</xm:sqref>
        </x14:conditionalFormatting>
        <x14:conditionalFormatting xmlns:xm="http://schemas.microsoft.com/office/excel/2006/main">
          <x14:cfRule type="expression" priority="602" id="{50F6BAC9-8F6E-4884-B7A2-18CFF8A2AD82}">
            <xm:f>MATCH($P$32,HOLIDAYS!$D$2:$D$22,0)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P32:V32</xm:sqref>
        </x14:conditionalFormatting>
        <x14:conditionalFormatting xmlns:xm="http://schemas.microsoft.com/office/excel/2006/main">
          <x14:cfRule type="expression" priority="601" id="{D8B77F9F-3D7B-4446-A94E-FEDAB1AD1EC7}">
            <xm:f>MATCH($W$32,HOLIDAYS!$D$2:$D$22,0)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W32:AC32</xm:sqref>
        </x14:conditionalFormatting>
        <x14:conditionalFormatting xmlns:xm="http://schemas.microsoft.com/office/excel/2006/main">
          <x14:cfRule type="expression" priority="600" id="{0AE477BF-8405-4857-BFD4-14617198622E}">
            <xm:f>MATCH($AD$32,HOLIDAYS!$D$2:$D$22,0)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AD32:AJ32</xm:sqref>
        </x14:conditionalFormatting>
        <x14:conditionalFormatting xmlns:xm="http://schemas.microsoft.com/office/excel/2006/main">
          <x14:cfRule type="expression" priority="598" id="{17FB6D5A-E364-4C11-BF66-371BA8EA7424}">
            <xm:f>MATCH($AD$44,HOLIDAYS!$D$2:$D$22,0)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AD44:AJ44</xm:sqref>
        </x14:conditionalFormatting>
        <x14:conditionalFormatting xmlns:xm="http://schemas.microsoft.com/office/excel/2006/main">
          <x14:cfRule type="expression" priority="599" id="{24806112-F305-4066-B8BA-296CB2494A49}">
            <xm:f>MATCH($W$44,HOLIDAYS!$D$2:$D$22,0)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W44:AC44</xm:sqref>
        </x14:conditionalFormatting>
        <x14:conditionalFormatting xmlns:xm="http://schemas.microsoft.com/office/excel/2006/main">
          <x14:cfRule type="expression" priority="597" id="{679CD0B3-66C3-4D9C-9C2C-7A7A2A1ABE71}">
            <xm:f>MATCH($P$44,HOLIDAYS!$D$2:$D$22,0)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P44:V44</xm:sqref>
        </x14:conditionalFormatting>
        <x14:conditionalFormatting xmlns:xm="http://schemas.microsoft.com/office/excel/2006/main">
          <x14:cfRule type="expression" priority="596" id="{12E50E27-9E14-4D6C-89BF-B0599C64468A}">
            <xm:f>MATCH($I$44,HOLIDAYS!$D$2:$D$22,0)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I44:O44</xm:sqref>
        </x14:conditionalFormatting>
        <x14:conditionalFormatting xmlns:xm="http://schemas.microsoft.com/office/excel/2006/main">
          <x14:cfRule type="expression" priority="595" id="{5CA5DE75-B39D-4210-8783-5684EC564B94}">
            <xm:f>MATCH($B$44,HOLIDAYS!$D$2:$D$22,0)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B44:H44</xm:sqref>
        </x14:conditionalFormatting>
        <x14:conditionalFormatting xmlns:xm="http://schemas.microsoft.com/office/excel/2006/main">
          <x14:cfRule type="expression" priority="623" id="{4362EBA3-8687-4B67-9C64-4B7B3704D422}">
            <xm:f>MATCH($B$56,HOLIDAYS!$D$2:$D$22,0)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B56:H56</xm:sqref>
        </x14:conditionalFormatting>
        <x14:conditionalFormatting xmlns:xm="http://schemas.microsoft.com/office/excel/2006/main">
          <x14:cfRule type="expression" priority="622" id="{09435516-B83D-4E06-9F54-1596FA0AD119}">
            <xm:f>MATCH($I$56,HOLIDAYS!$D$2:$D$22,0)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I56:O56</xm:sqref>
        </x14:conditionalFormatting>
        <x14:conditionalFormatting xmlns:xm="http://schemas.microsoft.com/office/excel/2006/main">
          <x14:cfRule type="expression" priority="621" id="{F0CBB84E-4CD8-49D8-A8E4-22D74F61BEFB}">
            <xm:f>MATCH($P$56,HOLIDAYS!$D$2:$D$22,0)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P56:V56</xm:sqref>
        </x14:conditionalFormatting>
        <x14:conditionalFormatting xmlns:xm="http://schemas.microsoft.com/office/excel/2006/main">
          <x14:cfRule type="expression" priority="620" id="{769C5A83-348A-423B-84BD-9192CA4D1968}">
            <xm:f>MATCH($W$56,HOLIDAYS!$D$2:$D$22,0)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W56:AC56</xm:sqref>
        </x14:conditionalFormatting>
        <x14:conditionalFormatting xmlns:xm="http://schemas.microsoft.com/office/excel/2006/main">
          <x14:cfRule type="expression" priority="643" id="{B67F2745-47CE-43EA-BD7A-5F820A60345D}">
            <xm:f>MATCH($AD$56,HOLIDAYS!$D$2:$D$22,0)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AD56:AJ56</xm:sqref>
        </x14:conditionalFormatting>
        <x14:conditionalFormatting xmlns:xm="http://schemas.microsoft.com/office/excel/2006/main">
          <x14:cfRule type="expression" priority="615" id="{B75DAE86-2B30-43BD-978B-88E84D65B218}">
            <xm:f>MATCH($AD$68,HOLIDAYS!$D$2:$D$22,0)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AD68:AJ68</xm:sqref>
        </x14:conditionalFormatting>
        <x14:conditionalFormatting xmlns:xm="http://schemas.microsoft.com/office/excel/2006/main">
          <x14:cfRule type="expression" priority="616" id="{3C794D76-6611-434E-9C40-82D77F358553}">
            <xm:f>MATCH($W$68,HOLIDAYS!$D$2:$D$22,0)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W68:AC68</xm:sqref>
        </x14:conditionalFormatting>
        <x14:conditionalFormatting xmlns:xm="http://schemas.microsoft.com/office/excel/2006/main">
          <x14:cfRule type="expression" priority="617" id="{362FAD0F-1763-4FDB-9411-94CB718AD36E}">
            <xm:f>MATCH($P$68,HOLIDAYS!$D$2:$D$22,0)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P68:V68</xm:sqref>
        </x14:conditionalFormatting>
        <x14:conditionalFormatting xmlns:xm="http://schemas.microsoft.com/office/excel/2006/main">
          <x14:cfRule type="expression" priority="618" id="{507B9E17-48D3-4434-A539-BD8263FF7749}">
            <xm:f>MATCH($I$68,HOLIDAYS!$D$2:$D$22,0)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I68:O68</xm:sqref>
        </x14:conditionalFormatting>
        <x14:conditionalFormatting xmlns:xm="http://schemas.microsoft.com/office/excel/2006/main">
          <x14:cfRule type="expression" priority="619" id="{387FBB2A-DB80-416A-B891-5FE90B0C57C6}">
            <xm:f>MATCH($B$68,HOLIDAYS!$D$2:$D$22,0)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B68:H68</xm:sqref>
        </x14:conditionalFormatting>
        <x14:conditionalFormatting xmlns:xm="http://schemas.microsoft.com/office/excel/2006/main">
          <x14:cfRule type="expression" priority="575" id="{15C03B6A-E3F9-4472-AF6F-EEBDA5FB4412}">
            <xm:f>MATCH($AC$8,HOLIDAYS!$B$2:$B$22,0)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W26:AC26</xm:sqref>
        </x14:conditionalFormatting>
        <x14:conditionalFormatting xmlns:xm="http://schemas.microsoft.com/office/excel/2006/main">
          <x14:cfRule type="expression" priority="565" id="{B0B8F140-B1A2-442B-AB9E-B54E6EBD5A17}">
            <xm:f>MATCH($AC$8,HOLIDAYS!$B$2:$B$22,0)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W38:AC38</xm:sqref>
        </x14:conditionalFormatting>
        <x14:conditionalFormatting xmlns:xm="http://schemas.microsoft.com/office/excel/2006/main">
          <x14:cfRule type="expression" priority="555" id="{D4CDD194-ED95-404F-911E-48296DC22795}">
            <xm:f>MATCH($AC$8,HOLIDAYS!$B$2:$B$22,0)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W50:AC50</xm:sqref>
        </x14:conditionalFormatting>
        <x14:conditionalFormatting xmlns:xm="http://schemas.microsoft.com/office/excel/2006/main">
          <x14:cfRule type="expression" priority="545" id="{8B87EB5D-AE28-434A-808A-9D88E760E01E}">
            <xm:f>MATCH($AC$8,HOLIDAYS!$B$2:$B$22,0)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I62:O62</xm:sqref>
        </x14:conditionalFormatting>
        <x14:conditionalFormatting xmlns:xm="http://schemas.microsoft.com/office/excel/2006/main">
          <x14:cfRule type="expression" priority="535" id="{A13D0F2C-1B7F-4AF1-AE78-6DC3C2416361}">
            <xm:f>MATCH($O$8,HOLIDAYS!$B$2:$B$22,0)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B33:H33 E34</xm:sqref>
        </x14:conditionalFormatting>
        <x14:conditionalFormatting xmlns:xm="http://schemas.microsoft.com/office/excel/2006/main">
          <x14:cfRule type="expression" priority="525" id="{F3083C48-E58E-4183-AF1D-30B6130089B0}">
            <xm:f>MATCH($AC$8,HOLIDAYS!$B$2:$B$22,0)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I38:O38</xm:sqref>
        </x14:conditionalFormatting>
        <x14:conditionalFormatting xmlns:xm="http://schemas.microsoft.com/office/excel/2006/main">
          <x14:cfRule type="expression" priority="513" id="{1132651D-C9B0-4608-B784-DD90CC9A7F75}">
            <xm:f>MATCH($O$8,HOLIDAYS!$B$2:$B$22,0)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I33:O33</xm:sqref>
        </x14:conditionalFormatting>
        <x14:conditionalFormatting xmlns:xm="http://schemas.microsoft.com/office/excel/2006/main">
          <x14:cfRule type="expression" priority="511" id="{413A605E-4B89-449C-8BF6-49ADD4A25BE2}">
            <xm:f>MATCH($H$32,HOLIDAYS!$B$2:$B$22,0)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B34:D34 F34:H34</xm:sqref>
        </x14:conditionalFormatting>
        <x14:conditionalFormatting xmlns:xm="http://schemas.microsoft.com/office/excel/2006/main">
          <x14:cfRule type="expression" priority="510" id="{FA1E7B13-108A-4B65-AF46-63BCA4C237DC}">
            <xm:f>MATCH($O$8,HOLIDAYS!$B$2:$B$22,0)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I34:O34</xm:sqref>
        </x14:conditionalFormatting>
        <x14:conditionalFormatting xmlns:xm="http://schemas.microsoft.com/office/excel/2006/main">
          <x14:cfRule type="expression" priority="500" id="{A657C564-3056-40F5-A23D-7D1AADDC52DE}">
            <xm:f>MATCH($O$8,HOLIDAYS!$B$2:$B$22,0)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I45:O45</xm:sqref>
        </x14:conditionalFormatting>
        <x14:conditionalFormatting xmlns:xm="http://schemas.microsoft.com/office/excel/2006/main">
          <x14:cfRule type="expression" priority="498" id="{22AADB11-0BA4-4C1B-8681-09C86188DD5F}">
            <xm:f>MATCH($O$8,HOLIDAYS!$B$2:$B$22,0)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I46:O46</xm:sqref>
        </x14:conditionalFormatting>
        <x14:conditionalFormatting xmlns:xm="http://schemas.microsoft.com/office/excel/2006/main">
          <x14:cfRule type="expression" priority="488" id="{F1DDE028-111A-4C08-AE36-ADA22E8A00F2}">
            <xm:f>MATCH($O$8,HOLIDAYS!$B$2:$B$22,0)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I57:V57</xm:sqref>
        </x14:conditionalFormatting>
        <x14:conditionalFormatting xmlns:xm="http://schemas.microsoft.com/office/excel/2006/main">
          <x14:cfRule type="expression" priority="486" id="{93D66B63-4911-4B7A-ADE3-40F474D99BE0}">
            <xm:f>MATCH($O$8,HOLIDAYS!$B$2:$B$22,0)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I58:O58</xm:sqref>
        </x14:conditionalFormatting>
        <x14:conditionalFormatting xmlns:xm="http://schemas.microsoft.com/office/excel/2006/main">
          <x14:cfRule type="expression" priority="476" id="{D8B87019-01EA-4422-B2B3-E52C3B52A683}">
            <xm:f>MATCH($AC$8,HOLIDAYS!$B$2:$B$22,0)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W62:AC62</xm:sqref>
        </x14:conditionalFormatting>
        <x14:conditionalFormatting xmlns:xm="http://schemas.microsoft.com/office/excel/2006/main">
          <x14:cfRule type="expression" priority="458" id="{AF605553-FC64-48FA-8EF2-299862BFEE1B}">
            <xm:f>MATCH($V$44,HOLIDAYS!$B$2:$B$22,0)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AD34:AJ34</xm:sqref>
        </x14:conditionalFormatting>
        <x14:conditionalFormatting xmlns:xm="http://schemas.microsoft.com/office/excel/2006/main">
          <x14:cfRule type="expression" priority="449" id="{C0FD7C3E-3807-427E-AD54-F498B1689A61}">
            <xm:f>MATCH($V$44,HOLIDAYS!$B$2:$B$22,0)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B51:H51</xm:sqref>
        </x14:conditionalFormatting>
        <x14:conditionalFormatting xmlns:xm="http://schemas.microsoft.com/office/excel/2006/main">
          <x14:cfRule type="expression" priority="448" id="{67A10281-CD79-444E-B9A2-B81E5540C838}">
            <xm:f>MATCH($V$44,HOLIDAYS!$B$2:$B$22,0)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AD33:AJ33</xm:sqref>
        </x14:conditionalFormatting>
        <x14:conditionalFormatting xmlns:xm="http://schemas.microsoft.com/office/excel/2006/main">
          <x14:cfRule type="expression" priority="439" id="{6A0D9211-D4A6-4AA6-BAAF-BBDA22A2F664}">
            <xm:f>MATCH($V$44,HOLIDAYS!$B$2:$B$22,0)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I51:O51</xm:sqref>
        </x14:conditionalFormatting>
        <x14:conditionalFormatting xmlns:xm="http://schemas.microsoft.com/office/excel/2006/main">
          <x14:cfRule type="expression" priority="430" id="{3EE63A84-A3F5-420F-997C-17BAC3DFC3F9}">
            <xm:f>MATCH($H$56,HOLIDAYS!$B$2:$B$22,0)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I59:O59</xm:sqref>
        </x14:conditionalFormatting>
        <x14:conditionalFormatting xmlns:xm="http://schemas.microsoft.com/office/excel/2006/main">
          <x14:cfRule type="expression" priority="420" id="{7951874C-5BC0-42E4-B2E6-24D3BB8938BC}">
            <xm:f>MATCH($H$56,HOLIDAYS!$B$2:$B$22,0)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B22:H22</xm:sqref>
        </x14:conditionalFormatting>
        <x14:conditionalFormatting xmlns:xm="http://schemas.microsoft.com/office/excel/2006/main">
          <x14:cfRule type="expression" priority="410" id="{4A6B22A0-E54C-4981-8B42-85BE8C214704}">
            <xm:f>MATCH($AC$56,HOLIDAYS!$B$2:$B$22,0)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P58:V58</xm:sqref>
        </x14:conditionalFormatting>
        <x14:conditionalFormatting xmlns:xm="http://schemas.microsoft.com/office/excel/2006/main">
          <x14:cfRule type="expression" priority="400" id="{AC662AD1-24A1-4155-BEF7-0E8139303F3A}">
            <xm:f>MATCH($AJ$20,HOLIDAYS!$B$2:$B$22,0)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B38:H38</xm:sqref>
        </x14:conditionalFormatting>
        <x14:conditionalFormatting xmlns:xm="http://schemas.microsoft.com/office/excel/2006/main">
          <x14:cfRule type="expression" priority="391" id="{E170E441-49B1-41F9-9E47-0BBAED4D57A5}">
            <xm:f>MATCH($AJ$20,HOLIDAYS!$B$2:$B$22,0)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I39:O39</xm:sqref>
        </x14:conditionalFormatting>
        <x14:conditionalFormatting xmlns:xm="http://schemas.microsoft.com/office/excel/2006/main">
          <x14:cfRule type="expression" priority="382" id="{C149511C-69BD-4D74-B5F4-3317507E9DA7}">
            <xm:f>MATCH($AJ$44,HOLIDAYS!$B$2:$B$22,0)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B62:H62</xm:sqref>
        </x14:conditionalFormatting>
        <x14:conditionalFormatting xmlns:xm="http://schemas.microsoft.com/office/excel/2006/main">
          <x14:cfRule type="expression" priority="373" id="{AB15D15E-699A-4E53-B00F-11F980F420CB}">
            <xm:f>MATCH($AC$32,HOLIDAYS!$B$2:$B$22,0)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AD38:AJ38</xm:sqref>
        </x14:conditionalFormatting>
        <x14:conditionalFormatting xmlns:xm="http://schemas.microsoft.com/office/excel/2006/main">
          <x14:cfRule type="expression" priority="364" id="{D83DB7E5-D204-4637-A360-3CFD5787DC35}">
            <xm:f>MATCH($AC$32,HOLIDAYS!$B$2:$B$22,0)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I63:O63</xm:sqref>
        </x14:conditionalFormatting>
        <x14:conditionalFormatting xmlns:xm="http://schemas.microsoft.com/office/excel/2006/main">
          <x14:cfRule type="expression" priority="355" id="{02DCEA5F-9B89-4CD5-8099-035B1603BF97}">
            <xm:f>MATCH($AC$32,HOLIDAYS!$B$2:$B$22,0)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P59:V59</xm:sqref>
        </x14:conditionalFormatting>
        <x14:conditionalFormatting xmlns:xm="http://schemas.microsoft.com/office/excel/2006/main">
          <x14:cfRule type="expression" priority="346" id="{80ACB874-7223-4854-9116-461CC7636EC2}">
            <xm:f>MATCH($AC$32,HOLIDAYS!$B$2:$B$22,0)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W64:AC64</xm:sqref>
        </x14:conditionalFormatting>
        <x14:conditionalFormatting xmlns:xm="http://schemas.microsoft.com/office/excel/2006/main">
          <x14:cfRule type="expression" priority="317" id="{B3B4EFC6-D1D6-4D3C-BE23-D79DFE064577}">
            <xm:f>MATCH($V$8,HOLIDAYS!$B$2:$B$22,0)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W17:AC17</xm:sqref>
        </x14:conditionalFormatting>
        <x14:conditionalFormatting xmlns:xm="http://schemas.microsoft.com/office/excel/2006/main">
          <x14:cfRule type="expression" priority="307" id="{70E3C4CC-B43A-4D34-97F9-5AC2FE855788}">
            <xm:f>MATCH($V$8,HOLIDAYS!$B$2:$B$22,0)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I26:O26</xm:sqref>
        </x14:conditionalFormatting>
        <x14:conditionalFormatting xmlns:xm="http://schemas.microsoft.com/office/excel/2006/main">
          <x14:cfRule type="expression" priority="297" id="{55E4BD6B-3B97-4601-9052-68B9FBF089CB}">
            <xm:f>MATCH($V$8,HOLIDAYS!$B$2:$B$22,0)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W9:AC9</xm:sqref>
        </x14:conditionalFormatting>
        <x14:conditionalFormatting xmlns:xm="http://schemas.microsoft.com/office/excel/2006/main">
          <x14:cfRule type="expression" priority="287" id="{394207D6-068E-4CE4-A40E-EDF9301270F1}">
            <xm:f>MATCH($V$8,HOLIDAYS!$B$2:$B$22,0)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AD14:AJ14</xm:sqref>
        </x14:conditionalFormatting>
        <x14:conditionalFormatting xmlns:xm="http://schemas.microsoft.com/office/excel/2006/main">
          <x14:cfRule type="expression" priority="277" id="{AB5B3376-C004-454A-87E4-5D8AA357BB1E}">
            <xm:f>MATCH($V$8,HOLIDAYS!$B$2:$B$22,0)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P33:V34</xm:sqref>
        </x14:conditionalFormatting>
        <x14:conditionalFormatting xmlns:xm="http://schemas.microsoft.com/office/excel/2006/main">
          <x14:cfRule type="expression" priority="267" id="{54867473-78D3-4F56-A370-A66AEE7F6B66}">
            <xm:f>MATCH($AC$8,HOLIDAYS!$B$2:$B$22,0)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P36:V36</xm:sqref>
        </x14:conditionalFormatting>
        <x14:conditionalFormatting xmlns:xm="http://schemas.microsoft.com/office/excel/2006/main">
          <x14:cfRule type="expression" priority="257" id="{0143E69E-A1E8-47B1-95F2-F1AEA440B968}">
            <xm:f>MATCH($V$8,HOLIDAYS!$B$2:$B$22,0)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P35:V35</xm:sqref>
        </x14:conditionalFormatting>
        <x14:conditionalFormatting xmlns:xm="http://schemas.microsoft.com/office/excel/2006/main">
          <x14:cfRule type="expression" priority="247" id="{F7C088B7-279E-4A8A-A009-4E50BC0E875E}">
            <xm:f>MATCH($V$8,HOLIDAYS!$B$2:$B$22,0)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W39:AC40</xm:sqref>
        </x14:conditionalFormatting>
        <x14:conditionalFormatting xmlns:xm="http://schemas.microsoft.com/office/excel/2006/main">
          <x14:cfRule type="expression" priority="237" id="{534D53B2-F0A9-4EFE-805D-EACF6C86E5C1}">
            <xm:f>MATCH($V$8,HOLIDAYS!$B$2:$B$22,0)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W41:AC41</xm:sqref>
        </x14:conditionalFormatting>
        <x14:conditionalFormatting xmlns:xm="http://schemas.microsoft.com/office/excel/2006/main">
          <x14:cfRule type="expression" priority="227" id="{D830DF7B-9CAD-4954-A8EE-E614E38D0EE2}">
            <xm:f>MATCH($V$56,HOLIDAYS!$B$2:$B$22,0)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B63:H63</xm:sqref>
        </x14:conditionalFormatting>
        <x14:conditionalFormatting xmlns:xm="http://schemas.microsoft.com/office/excel/2006/main">
          <x14:cfRule type="expression" priority="220" id="{B776A0FB-BA8C-4690-8AD7-68F3DF2717D6}">
            <xm:f>MATCH($O$44,HOLIDAYS!$B$2:$B$22,0)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B63:C63</xm:sqref>
        </x14:conditionalFormatting>
        <x14:conditionalFormatting xmlns:xm="http://schemas.microsoft.com/office/excel/2006/main">
          <x14:cfRule type="expression" priority="216" id="{8DC16451-5562-4B9E-8509-51ED4752E618}">
            <xm:f>MATCH($V$56,HOLIDAYS!$B$2:$B$22,0)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R62:U62</xm:sqref>
        </x14:conditionalFormatting>
        <x14:conditionalFormatting xmlns:xm="http://schemas.microsoft.com/office/excel/2006/main">
          <x14:cfRule type="expression" priority="209" id="{CF564079-8216-4D38-8D5C-6FE411ECBB89}">
            <xm:f>MATCH($O$44,HOLIDAYS!$B$2:$B$22,0)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P62:Q62</xm:sqref>
        </x14:conditionalFormatting>
        <x14:conditionalFormatting xmlns:xm="http://schemas.microsoft.com/office/excel/2006/main">
          <x14:cfRule type="expression" priority="200" id="{E2A05E67-98B6-40AA-B7AF-C6AAE6BCF5DD}">
            <xm:f>MATCH($O$44,HOLIDAYS!$B$2:$B$22,0)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AD39:AJ39</xm:sqref>
        </x14:conditionalFormatting>
        <x14:conditionalFormatting xmlns:xm="http://schemas.microsoft.com/office/excel/2006/main">
          <x14:cfRule type="expression" priority="194" id="{73B70C67-3651-4F20-BFE1-4F29568BE109}">
            <xm:f>MATCH($AC$8,HOLIDAYS!$B$2:$B$22,0)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P14:R14</xm:sqref>
        </x14:conditionalFormatting>
        <x14:conditionalFormatting xmlns:xm="http://schemas.microsoft.com/office/excel/2006/main">
          <x14:cfRule type="expression" priority="192" id="{DDE6197E-5231-4C26-BE70-3C99E55C7EA7}">
            <xm:f>MATCH($O$8,HOLIDAYS!$B$2:$B$22,0)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AC59</xm:sqref>
        </x14:conditionalFormatting>
        <x14:conditionalFormatting xmlns:xm="http://schemas.microsoft.com/office/excel/2006/main">
          <x14:cfRule type="expression" priority="180" id="{5954EA37-39CB-4A5F-9105-37C3ABC4A54C}">
            <xm:f>MATCH($H$44,HOLIDAYS!$B$2:$B$22,0)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P45:V45</xm:sqref>
        </x14:conditionalFormatting>
        <x14:conditionalFormatting xmlns:xm="http://schemas.microsoft.com/office/excel/2006/main">
          <x14:cfRule type="expression" priority="171" id="{1AEBFF32-E2A8-45C8-AF06-C1E278C450BD}">
            <xm:f>MATCH($AJ$32,HOLIDAYS!$B$2:$B$22,0)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P46:S46</xm:sqref>
        </x14:conditionalFormatting>
        <x14:conditionalFormatting xmlns:xm="http://schemas.microsoft.com/office/excel/2006/main">
          <x14:cfRule type="expression" priority="170" id="{82F08CF2-9ACF-41D4-A1C4-33E663789C4D}">
            <xm:f>MATCH($H$44,HOLIDAYS!$B$2:$B$22,0)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V46</xm:sqref>
        </x14:conditionalFormatting>
        <x14:conditionalFormatting xmlns:xm="http://schemas.microsoft.com/office/excel/2006/main">
          <x14:cfRule type="expression" priority="169" id="{179D9F81-C5F2-4A3A-9E04-80D5EC952320}">
            <xm:f>MATCH($V$44,HOLIDAYS!$B$2:$B$22,0)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AA51:AB51</xm:sqref>
        </x14:conditionalFormatting>
        <x14:conditionalFormatting xmlns:xm="http://schemas.microsoft.com/office/excel/2006/main">
          <x14:cfRule type="expression" priority="160" id="{EE79E05E-B11E-41B9-9A5D-F54758D15E28}">
            <xm:f>MATCH($AJ$32,HOLIDAYS!$B$2:$B$22,0)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W51:Y51</xm:sqref>
        </x14:conditionalFormatting>
        <x14:conditionalFormatting xmlns:xm="http://schemas.microsoft.com/office/excel/2006/main">
          <x14:cfRule type="expression" priority="159" id="{3D87492F-71F1-46AB-98EA-F42F56CCA916}">
            <xm:f>MATCH($H$44,HOLIDAYS!$B$2:$B$22,0)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AC51</xm:sqref>
        </x14:conditionalFormatting>
        <x14:conditionalFormatting xmlns:xm="http://schemas.microsoft.com/office/excel/2006/main">
          <x14:cfRule type="expression" priority="150" id="{160055F4-66F8-4BC7-A894-A8C3FA67C4FE}">
            <xm:f>MATCH($AJ$44,HOLIDAYS!$B$2:$B$22,0)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W52:AB52</xm:sqref>
        </x14:conditionalFormatting>
        <x14:conditionalFormatting xmlns:xm="http://schemas.microsoft.com/office/excel/2006/main">
          <x14:cfRule type="expression" priority="149" id="{A29EDC3B-653F-433B-BD88-B0BA4D2E146B}">
            <xm:f>MATCH($O$8,HOLIDAYS!$B$2:$B$22,0)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AC52</xm:sqref>
        </x14:conditionalFormatting>
        <x14:conditionalFormatting xmlns:xm="http://schemas.microsoft.com/office/excel/2006/main">
          <x14:cfRule type="expression" priority="147" id="{0AFA7C1D-81EF-4E7B-83BA-5C6EB6DEC597}">
            <xm:f>MATCH($AJ$44,HOLIDAYS!$B$2:$B$22,0)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Z51</xm:sqref>
        </x14:conditionalFormatting>
        <x14:conditionalFormatting xmlns:xm="http://schemas.microsoft.com/office/excel/2006/main">
          <x14:cfRule type="expression" priority="146" id="{DEAACDC8-5B40-4AB1-AD03-9004E473423D}">
            <xm:f>MATCH($AJ$20,HOLIDAYS!$B$2:$B$22,0)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L40:L41</xm:sqref>
        </x14:conditionalFormatting>
        <x14:conditionalFormatting xmlns:xm="http://schemas.microsoft.com/office/excel/2006/main">
          <x14:cfRule type="expression" priority="145" id="{9F46CB88-79A8-4C75-9B4B-C2DE90DB77AD}">
            <xm:f>MATCH($AJ$20,HOLIDAYS!$B$2:$B$22,0)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M40</xm:sqref>
        </x14:conditionalFormatting>
        <x14:conditionalFormatting xmlns:xm="http://schemas.microsoft.com/office/excel/2006/main">
          <x14:cfRule type="expression" priority="144" id="{1167F223-B7E1-489B-882F-ED4D376FE492}">
            <xm:f>MATCH($AJ$20,HOLIDAYS!$B$2:$B$22,0)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N40</xm:sqref>
        </x14:conditionalFormatting>
        <x14:conditionalFormatting xmlns:xm="http://schemas.microsoft.com/office/excel/2006/main">
          <x14:cfRule type="expression" priority="135" id="{3E59E25A-4695-47AA-A7B3-9B7FF3B3C31F}">
            <xm:f>MATCH($AJ$20,HOLIDAYS!$B$2:$B$22,0)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AD50:AJ50 AD52:AJ55</xm:sqref>
        </x14:conditionalFormatting>
        <x14:conditionalFormatting xmlns:xm="http://schemas.microsoft.com/office/excel/2006/main">
          <x14:cfRule type="expression" priority="126" id="{23D17FC8-9E28-4C96-A92D-EF94B36427C1}">
            <xm:f>MATCH($AJ$20,HOLIDAYS!$B$2:$B$22,0)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W45:AC45</xm:sqref>
        </x14:conditionalFormatting>
        <x14:conditionalFormatting xmlns:xm="http://schemas.microsoft.com/office/excel/2006/main">
          <x14:cfRule type="expression" priority="115" id="{94500E4C-0149-48F8-8536-444740B124DB}">
            <xm:f>MATCH($H$32,HOLIDAYS!$B$2:$B$22,0)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I41:K41 M41:O41</xm:sqref>
        </x14:conditionalFormatting>
        <x14:conditionalFormatting xmlns:xm="http://schemas.microsoft.com/office/excel/2006/main">
          <x14:cfRule type="expression" priority="111" id="{01995C1D-D079-4116-A7D8-30D8B4173079}">
            <xm:f>MATCH($AJ$20,HOLIDAYS!$B$2:$B$22,0)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AG51</xm:sqref>
        </x14:conditionalFormatting>
        <x14:conditionalFormatting xmlns:xm="http://schemas.microsoft.com/office/excel/2006/main">
          <x14:cfRule type="expression" priority="105" id="{4DE9CA75-2087-4EA9-B8FE-2F0DBE4C45B7}">
            <xm:f>MATCH($H$32,HOLIDAYS!$B$2:$B$22,0)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AD51:AF51 AH51:AJ51</xm:sqref>
        </x14:conditionalFormatting>
        <x14:conditionalFormatting xmlns:xm="http://schemas.microsoft.com/office/excel/2006/main">
          <x14:cfRule type="expression" priority="101" id="{33B60E98-4DF7-4099-9541-D2AE1F956DDF}">
            <xm:f>MATCH($AJ$20,HOLIDAYS!$B$2:$B$22,0)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S50</xm:sqref>
        </x14:conditionalFormatting>
        <x14:conditionalFormatting xmlns:xm="http://schemas.microsoft.com/office/excel/2006/main">
          <x14:cfRule type="expression" priority="95" id="{9D3B844B-3231-40D0-A5C0-C6A932E7C8E0}">
            <xm:f>MATCH($H$32,HOLIDAYS!$B$2:$B$22,0)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P50:R50 T50:V50</xm:sqref>
        </x14:conditionalFormatting>
        <x14:conditionalFormatting xmlns:xm="http://schemas.microsoft.com/office/excel/2006/main">
          <x14:cfRule type="expression" priority="89" id="{7544CAD5-59D9-495C-8D95-2219BF5EC748}">
            <xm:f>MATCH($O$20,HOLIDAYS!$B$2:$B$22,0)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W27:Y27</xm:sqref>
        </x14:conditionalFormatting>
        <x14:conditionalFormatting xmlns:xm="http://schemas.microsoft.com/office/excel/2006/main">
          <x14:cfRule type="expression" priority="88" id="{4A20B910-F7D7-407B-986C-E808CF3B9E86}">
            <xm:f>MATCH($AC$8,HOLIDAYS!$B$2:$B$22,0)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Z27</xm:sqref>
        </x14:conditionalFormatting>
        <x14:conditionalFormatting xmlns:xm="http://schemas.microsoft.com/office/excel/2006/main">
          <x14:cfRule type="expression" priority="81" id="{D8407AAB-F331-4208-ADC2-55550D7F02BB}">
            <xm:f>MATCH($AJ$20,HOLIDAYS!$B$2:$B$22,0)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B40:D41</xm:sqref>
        </x14:conditionalFormatting>
        <x14:conditionalFormatting xmlns:xm="http://schemas.microsoft.com/office/excel/2006/main">
          <x14:cfRule type="expression" priority="75" id="{CCF11D1B-2B22-4DCB-B70C-799301BDDE37}">
            <xm:f>MATCH($H$44,HOLIDAYS!$B$2:$B$22,0)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I52:K52</xm:sqref>
        </x14:conditionalFormatting>
        <x14:conditionalFormatting xmlns:xm="http://schemas.microsoft.com/office/excel/2006/main">
          <x14:cfRule type="expression" priority="66" id="{FDFE7AFB-1523-46A1-AEE6-E9CCE3153F1B}">
            <xm:f>MATCH($O$8,HOLIDAYS!$B$2:$B$22,0)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AD9:AJ9 AF10</xm:sqref>
        </x14:conditionalFormatting>
        <x14:conditionalFormatting xmlns:xm="http://schemas.microsoft.com/office/excel/2006/main">
          <x14:cfRule type="expression" priority="56" id="{DB21B30B-B7DD-4C07-98A9-B75E4578AC2A}">
            <xm:f>MATCH($AJ$8,HOLIDAYS!$B$2:$B$22,0)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B28:C28 E28:H28</xm:sqref>
        </x14:conditionalFormatting>
        <x14:conditionalFormatting xmlns:xm="http://schemas.microsoft.com/office/excel/2006/main">
          <x14:cfRule type="expression" priority="54" id="{FBA3538C-7E32-4B1F-A34D-CA769862FCC4}">
            <xm:f>MATCH($O$8,HOLIDAYS!$B$2:$B$22,0)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D28</xm:sqref>
        </x14:conditionalFormatting>
        <x14:conditionalFormatting xmlns:xm="http://schemas.microsoft.com/office/excel/2006/main">
          <x14:cfRule type="expression" priority="52" id="{F365DEA2-B726-4BFE-A4CE-B21B931ECE67}">
            <xm:f>MATCH($V$8,HOLIDAYS!$B$2:$B$22,0)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W10:AC10</xm:sqref>
        </x14:conditionalFormatting>
        <x14:conditionalFormatting xmlns:xm="http://schemas.microsoft.com/office/excel/2006/main">
          <x14:cfRule type="expression" priority="32" id="{7FFE78BD-16C8-4BEF-ACFD-8E66C831544B}">
            <xm:f>MATCH($V$8,HOLIDAYS!$B$2:$B$22,0)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I27:O27</xm:sqref>
        </x14:conditionalFormatting>
        <x14:conditionalFormatting xmlns:xm="http://schemas.microsoft.com/office/excel/2006/main">
          <x14:cfRule type="expression" priority="14" id="{DB9B0274-5FC8-4222-B2A3-45399956E49F}">
            <xm:f>MATCH($V$8,HOLIDAYS!$B$2:$B$22,0)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B26:H26</xm:sqref>
        </x14:conditionalFormatting>
        <x14:conditionalFormatting xmlns:xm="http://schemas.microsoft.com/office/excel/2006/main">
          <x14:cfRule type="expression" priority="4" id="{8349C6B5-E4A4-404B-A98C-721A0D63B20D}">
            <xm:f>MATCH($V$8,HOLIDAYS!$B$2:$B$22,0)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AD15:AJ15</xm:sqref>
        </x14:conditionalFormatting>
        <x14:conditionalFormatting xmlns:xm="http://schemas.microsoft.com/office/excel/2006/main">
          <x14:cfRule type="expression" priority="2" id="{C14B989F-2DD0-48BC-952F-71700EF1A250}">
            <xm:f>MATCH($AJ$8,HOLIDAYS!$B$2:$B$22,0)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AJ16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835E8-08BE-46D5-9A87-1BB522BA85C3}">
  <sheetPr codeName="Sheet6">
    <tabColor theme="0" tint="-0.34998626667073579"/>
  </sheetPr>
  <dimension ref="A1:AW83"/>
  <sheetViews>
    <sheetView showZeros="0" zoomScale="60" zoomScaleNormal="60" zoomScaleSheetLayoutView="41" workbookViewId="0">
      <pane ySplit="7" topLeftCell="A49" activePane="bottomLeft" state="frozen"/>
      <selection pane="bottomLeft" activeCell="P63" sqref="P63"/>
    </sheetView>
  </sheetViews>
  <sheetFormatPr defaultColWidth="11.875" defaultRowHeight="18"/>
  <cols>
    <col min="1" max="1" width="7.375" style="11" customWidth="1"/>
    <col min="2" max="2" width="13" style="11" customWidth="1"/>
    <col min="3" max="3" width="11.875" style="11"/>
    <col min="4" max="4" width="39.625" style="11" customWidth="1"/>
    <col min="5" max="5" width="16" style="11" bestFit="1" customWidth="1"/>
    <col min="6" max="7" width="7.5" style="11" customWidth="1"/>
    <col min="8" max="8" width="11.875" style="11"/>
    <col min="9" max="9" width="13" style="11" customWidth="1"/>
    <col min="10" max="10" width="11.875" style="11"/>
    <col min="11" max="11" width="39.625" style="11" customWidth="1"/>
    <col min="12" max="12" width="16" style="11" bestFit="1" customWidth="1"/>
    <col min="13" max="14" width="7.5" style="11" customWidth="1"/>
    <col min="15" max="15" width="11.875" style="11" customWidth="1"/>
    <col min="16" max="16" width="13" style="11" customWidth="1"/>
    <col min="17" max="17" width="11.875" style="11"/>
    <col min="18" max="18" width="39.625" style="11" customWidth="1"/>
    <col min="19" max="19" width="16" style="11" bestFit="1" customWidth="1"/>
    <col min="20" max="21" width="7.5" style="11" customWidth="1"/>
    <col min="22" max="22" width="11.875" style="11"/>
    <col min="23" max="23" width="13" style="11" customWidth="1"/>
    <col min="24" max="24" width="11.875" style="11"/>
    <col min="25" max="25" width="39.625" style="11" customWidth="1"/>
    <col min="26" max="26" width="16" style="11" bestFit="1" customWidth="1"/>
    <col min="27" max="28" width="7.5" style="11" customWidth="1"/>
    <col min="29" max="29" width="11.875" style="11"/>
    <col min="30" max="30" width="13" style="11" customWidth="1"/>
    <col min="31" max="31" width="11.875" style="11"/>
    <col min="32" max="32" width="39.625" style="11" customWidth="1"/>
    <col min="33" max="33" width="16" style="11" bestFit="1" customWidth="1"/>
    <col min="34" max="35" width="7.5" style="11" customWidth="1"/>
    <col min="36" max="36" width="11.875" style="11"/>
    <col min="37" max="37" width="8.625" style="11" customWidth="1"/>
    <col min="38" max="38" width="7.125" style="11" hidden="1" customWidth="1"/>
    <col min="39" max="39" width="12.375" style="11" hidden="1" customWidth="1"/>
    <col min="40" max="40" width="0" style="11" hidden="1" customWidth="1"/>
    <col min="41" max="41" width="4.625" style="11" hidden="1" customWidth="1"/>
    <col min="42" max="42" width="6" style="11" hidden="1" customWidth="1"/>
    <col min="43" max="48" width="5.5" style="11" hidden="1" customWidth="1"/>
    <col min="49" max="49" width="5.5" style="11" customWidth="1"/>
    <col min="50" max="16384" width="11.875" style="11"/>
  </cols>
  <sheetData>
    <row r="1" spans="1:49" ht="45" customHeight="1" thickBot="1">
      <c r="A1" s="8"/>
      <c r="B1" s="154">
        <v>45108</v>
      </c>
      <c r="C1" s="155"/>
      <c r="D1" s="155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10"/>
      <c r="AK1" s="8"/>
      <c r="AL1" s="64"/>
      <c r="AM1" s="156" t="s">
        <v>66</v>
      </c>
      <c r="AN1" s="156"/>
      <c r="AO1" s="156"/>
      <c r="AP1" s="12"/>
    </row>
    <row r="2" spans="1:49" ht="26.1" customHeight="1" thickBot="1">
      <c r="A2" s="8"/>
      <c r="B2" s="157" t="s">
        <v>67</v>
      </c>
      <c r="C2" s="156"/>
      <c r="D2" s="156"/>
      <c r="E2" s="156"/>
      <c r="F2" s="156"/>
      <c r="G2" s="156"/>
      <c r="H2" s="158"/>
      <c r="I2" s="157" t="s">
        <v>68</v>
      </c>
      <c r="J2" s="156"/>
      <c r="K2" s="156"/>
      <c r="L2" s="156"/>
      <c r="M2" s="156"/>
      <c r="N2" s="156"/>
      <c r="O2" s="158"/>
      <c r="P2" s="157" t="s">
        <v>69</v>
      </c>
      <c r="Q2" s="156"/>
      <c r="R2" s="156"/>
      <c r="S2" s="156"/>
      <c r="T2" s="156"/>
      <c r="U2" s="156"/>
      <c r="V2" s="158"/>
      <c r="W2" s="157" t="s">
        <v>70</v>
      </c>
      <c r="X2" s="156"/>
      <c r="Y2" s="156"/>
      <c r="Z2" s="156"/>
      <c r="AA2" s="156"/>
      <c r="AB2" s="156"/>
      <c r="AC2" s="158"/>
      <c r="AD2" s="157" t="s">
        <v>71</v>
      </c>
      <c r="AE2" s="156"/>
      <c r="AF2" s="156"/>
      <c r="AG2" s="156"/>
      <c r="AH2" s="156"/>
      <c r="AI2" s="156"/>
      <c r="AJ2" s="158"/>
      <c r="AK2" s="8"/>
      <c r="AL2" s="8"/>
      <c r="AM2" s="148" t="s">
        <v>72</v>
      </c>
      <c r="AN2" s="150">
        <v>2023</v>
      </c>
      <c r="AO2" s="13"/>
      <c r="AQ2" s="7"/>
      <c r="AR2" s="7"/>
      <c r="AS2" s="7"/>
      <c r="AT2" s="7"/>
      <c r="AU2" s="7"/>
      <c r="AV2" s="7"/>
      <c r="AW2" s="7"/>
    </row>
    <row r="3" spans="1:49" ht="18.75" thickBot="1">
      <c r="A3" s="8"/>
      <c r="B3" s="14" t="s">
        <v>73</v>
      </c>
      <c r="C3" s="15" t="s">
        <v>74</v>
      </c>
      <c r="D3" s="15" t="s">
        <v>75</v>
      </c>
      <c r="E3" s="15" t="s">
        <v>76</v>
      </c>
      <c r="F3" s="15" t="s">
        <v>77</v>
      </c>
      <c r="G3" s="15" t="s">
        <v>78</v>
      </c>
      <c r="H3" s="16" t="s">
        <v>79</v>
      </c>
      <c r="I3" s="14" t="s">
        <v>73</v>
      </c>
      <c r="J3" s="15" t="s">
        <v>74</v>
      </c>
      <c r="K3" s="15" t="s">
        <v>75</v>
      </c>
      <c r="L3" s="15" t="s">
        <v>76</v>
      </c>
      <c r="M3" s="15" t="s">
        <v>77</v>
      </c>
      <c r="N3" s="15" t="s">
        <v>78</v>
      </c>
      <c r="O3" s="16" t="s">
        <v>79</v>
      </c>
      <c r="P3" s="14" t="s">
        <v>73</v>
      </c>
      <c r="Q3" s="15" t="s">
        <v>74</v>
      </c>
      <c r="R3" s="15" t="s">
        <v>75</v>
      </c>
      <c r="S3" s="15" t="s">
        <v>76</v>
      </c>
      <c r="T3" s="15" t="s">
        <v>77</v>
      </c>
      <c r="U3" s="15" t="s">
        <v>78</v>
      </c>
      <c r="V3" s="16" t="s">
        <v>79</v>
      </c>
      <c r="W3" s="14" t="s">
        <v>73</v>
      </c>
      <c r="X3" s="15" t="s">
        <v>74</v>
      </c>
      <c r="Y3" s="15" t="s">
        <v>75</v>
      </c>
      <c r="Z3" s="15" t="s">
        <v>76</v>
      </c>
      <c r="AA3" s="15" t="s">
        <v>77</v>
      </c>
      <c r="AB3" s="15" t="s">
        <v>78</v>
      </c>
      <c r="AC3" s="16" t="s">
        <v>79</v>
      </c>
      <c r="AD3" s="14" t="s">
        <v>73</v>
      </c>
      <c r="AE3" s="15" t="s">
        <v>74</v>
      </c>
      <c r="AF3" s="15" t="s">
        <v>75</v>
      </c>
      <c r="AG3" s="15" t="s">
        <v>76</v>
      </c>
      <c r="AH3" s="15" t="s">
        <v>77</v>
      </c>
      <c r="AI3" s="15" t="s">
        <v>78</v>
      </c>
      <c r="AJ3" s="16" t="s">
        <v>79</v>
      </c>
      <c r="AK3" s="8"/>
      <c r="AL3" s="8"/>
      <c r="AM3" s="149"/>
      <c r="AN3" s="151"/>
      <c r="AO3" s="17"/>
      <c r="AQ3" s="7"/>
      <c r="AR3" s="7"/>
      <c r="AS3" s="7"/>
      <c r="AT3" s="7"/>
      <c r="AU3" s="7"/>
      <c r="AV3" s="7"/>
      <c r="AW3" s="7"/>
    </row>
    <row r="4" spans="1:49" ht="18.75" thickBot="1">
      <c r="A4" s="8"/>
      <c r="B4" s="18"/>
      <c r="C4" s="19"/>
      <c r="D4" s="19"/>
      <c r="E4" s="19"/>
      <c r="F4" s="19"/>
      <c r="G4" s="19"/>
      <c r="H4" s="20"/>
      <c r="I4" s="18"/>
      <c r="J4" s="19"/>
      <c r="K4" s="19"/>
      <c r="L4" s="19"/>
      <c r="M4" s="19"/>
      <c r="N4" s="19"/>
      <c r="O4" s="20"/>
      <c r="P4" s="18"/>
      <c r="Q4" s="19"/>
      <c r="R4" s="19"/>
      <c r="S4" s="19"/>
      <c r="T4" s="19"/>
      <c r="U4" s="19"/>
      <c r="V4" s="20"/>
      <c r="W4" s="18"/>
      <c r="X4" s="19"/>
      <c r="Y4" s="19"/>
      <c r="Z4" s="19"/>
      <c r="AA4" s="19"/>
      <c r="AB4" s="19"/>
      <c r="AC4" s="20"/>
      <c r="AD4" s="18"/>
      <c r="AE4" s="19"/>
      <c r="AF4" s="19"/>
      <c r="AG4" s="19"/>
      <c r="AH4" s="19"/>
      <c r="AI4" s="19"/>
      <c r="AJ4" s="20"/>
      <c r="AK4" s="8"/>
      <c r="AL4" s="8"/>
      <c r="AM4" s="21"/>
      <c r="AN4" s="21"/>
      <c r="AQ4" s="7"/>
      <c r="AR4" s="7"/>
      <c r="AS4" s="7"/>
      <c r="AT4" s="7"/>
      <c r="AU4" s="7"/>
      <c r="AV4" s="7"/>
      <c r="AW4" s="7"/>
    </row>
    <row r="5" spans="1:49" ht="19.5">
      <c r="A5" s="8"/>
      <c r="B5" s="22"/>
      <c r="C5" s="4" t="s">
        <v>80</v>
      </c>
      <c r="D5" s="4"/>
      <c r="E5" s="3"/>
      <c r="F5" s="23"/>
      <c r="G5" s="3"/>
      <c r="H5" s="24"/>
      <c r="I5" s="22"/>
      <c r="J5" s="5" t="s">
        <v>81</v>
      </c>
      <c r="K5" s="6"/>
      <c r="L5" s="25"/>
      <c r="M5" s="25"/>
      <c r="N5" s="25"/>
      <c r="O5" s="24"/>
      <c r="P5" s="22"/>
      <c r="Q5" s="5" t="s">
        <v>82</v>
      </c>
      <c r="R5" s="6"/>
      <c r="S5" s="25"/>
      <c r="T5" s="25"/>
      <c r="U5" s="25"/>
      <c r="V5" s="24"/>
      <c r="W5" s="22"/>
      <c r="X5" s="25"/>
      <c r="Y5" s="25"/>
      <c r="Z5" s="25"/>
      <c r="AA5" s="25"/>
      <c r="AB5" s="25"/>
      <c r="AC5" s="24"/>
      <c r="AD5" s="22"/>
      <c r="AE5" s="5" t="s">
        <v>83</v>
      </c>
      <c r="AF5" s="6"/>
      <c r="AG5" s="25"/>
      <c r="AH5" s="25"/>
      <c r="AI5" s="25"/>
      <c r="AJ5" s="24"/>
      <c r="AK5" s="8"/>
      <c r="AL5" s="8"/>
      <c r="AM5" s="148" t="s">
        <v>84</v>
      </c>
      <c r="AN5" s="150">
        <v>7</v>
      </c>
      <c r="AO5" s="13"/>
      <c r="AQ5" s="7"/>
      <c r="AR5" s="7"/>
      <c r="AS5" s="7"/>
      <c r="AT5" s="7"/>
      <c r="AU5" s="7"/>
      <c r="AV5" s="7"/>
      <c r="AW5" s="7"/>
    </row>
    <row r="6" spans="1:49" ht="18.75" thickBot="1">
      <c r="A6" s="8"/>
      <c r="B6" s="22"/>
      <c r="C6" s="4" t="s">
        <v>85</v>
      </c>
      <c r="D6" s="4"/>
      <c r="E6" s="3"/>
      <c r="F6" s="23"/>
      <c r="G6" s="3"/>
      <c r="H6" s="24"/>
      <c r="I6" s="22"/>
      <c r="J6" s="6" t="s">
        <v>86</v>
      </c>
      <c r="K6" s="6"/>
      <c r="L6" s="25"/>
      <c r="M6" s="25"/>
      <c r="N6" s="25"/>
      <c r="O6" s="24"/>
      <c r="P6" s="22"/>
      <c r="Q6" s="6" t="s">
        <v>87</v>
      </c>
      <c r="R6" s="6"/>
      <c r="S6" s="25"/>
      <c r="T6" s="25"/>
      <c r="U6" s="25"/>
      <c r="V6" s="24"/>
      <c r="W6" s="22"/>
      <c r="X6" s="25"/>
      <c r="Y6" s="25"/>
      <c r="Z6" s="25"/>
      <c r="AA6" s="25"/>
      <c r="AB6" s="25"/>
      <c r="AC6" s="24"/>
      <c r="AD6" s="22"/>
      <c r="AE6" s="6" t="s">
        <v>86</v>
      </c>
      <c r="AF6" s="6"/>
      <c r="AG6" s="25"/>
      <c r="AH6" s="25"/>
      <c r="AI6" s="25"/>
      <c r="AJ6" s="24"/>
      <c r="AK6" s="8"/>
      <c r="AL6" s="8"/>
      <c r="AM6" s="149"/>
      <c r="AN6" s="151"/>
      <c r="AO6" s="17"/>
      <c r="AQ6" s="7"/>
      <c r="AR6" s="7"/>
      <c r="AS6" s="7"/>
      <c r="AT6" s="7"/>
      <c r="AU6" s="7"/>
      <c r="AV6" s="7"/>
      <c r="AW6" s="7"/>
    </row>
    <row r="7" spans="1:49" ht="18.75" thickBot="1">
      <c r="A7" s="8"/>
      <c r="B7" s="26"/>
      <c r="C7" s="27"/>
      <c r="D7" s="27"/>
      <c r="E7" s="27"/>
      <c r="F7" s="27"/>
      <c r="G7" s="27"/>
      <c r="H7" s="28"/>
      <c r="I7" s="26"/>
      <c r="J7" s="27"/>
      <c r="K7" s="27"/>
      <c r="L7" s="27"/>
      <c r="M7" s="27"/>
      <c r="N7" s="27"/>
      <c r="O7" s="28"/>
      <c r="P7" s="26"/>
      <c r="Q7" s="27"/>
      <c r="R7" s="27"/>
      <c r="S7" s="27"/>
      <c r="T7" s="27"/>
      <c r="U7" s="27"/>
      <c r="V7" s="28"/>
      <c r="W7" s="26"/>
      <c r="X7" s="27"/>
      <c r="Y7" s="27"/>
      <c r="Z7" s="27"/>
      <c r="AA7" s="27"/>
      <c r="AB7" s="27"/>
      <c r="AC7" s="28"/>
      <c r="AD7" s="26"/>
      <c r="AE7" s="27"/>
      <c r="AF7" s="27"/>
      <c r="AG7" s="27"/>
      <c r="AH7" s="27"/>
      <c r="AI7" s="27"/>
      <c r="AJ7" s="28"/>
      <c r="AK7" s="8"/>
      <c r="AL7" s="8"/>
      <c r="AQ7" s="7"/>
      <c r="AR7" s="7"/>
      <c r="AS7" s="7"/>
      <c r="AT7" s="7"/>
      <c r="AU7" s="7"/>
      <c r="AV7" s="7"/>
      <c r="AW7" s="7"/>
    </row>
    <row r="8" spans="1:49" ht="21" customHeight="1">
      <c r="A8" s="8"/>
      <c r="B8" s="152" t="s">
        <v>88</v>
      </c>
      <c r="C8" s="153"/>
      <c r="D8" s="153"/>
      <c r="E8" s="153"/>
      <c r="F8" s="153"/>
      <c r="G8" s="153"/>
      <c r="H8" s="29">
        <v>45103</v>
      </c>
      <c r="I8" s="152" t="s">
        <v>88</v>
      </c>
      <c r="J8" s="153"/>
      <c r="K8" s="153"/>
      <c r="L8" s="153"/>
      <c r="M8" s="153"/>
      <c r="N8" s="153"/>
      <c r="O8" s="30">
        <v>45104</v>
      </c>
      <c r="P8" s="146" t="s">
        <v>88</v>
      </c>
      <c r="Q8" s="147"/>
      <c r="R8" s="147"/>
      <c r="S8" s="147"/>
      <c r="T8" s="147"/>
      <c r="U8" s="147"/>
      <c r="V8" s="30">
        <v>45105</v>
      </c>
      <c r="W8" s="146" t="s">
        <v>173</v>
      </c>
      <c r="X8" s="147"/>
      <c r="Y8" s="147"/>
      <c r="Z8" s="147"/>
      <c r="AA8" s="147"/>
      <c r="AB8" s="147"/>
      <c r="AC8" s="30">
        <v>45106</v>
      </c>
      <c r="AD8" s="146" t="s">
        <v>88</v>
      </c>
      <c r="AE8" s="147"/>
      <c r="AF8" s="147"/>
      <c r="AG8" s="147"/>
      <c r="AH8" s="147"/>
      <c r="AI8" s="147"/>
      <c r="AJ8" s="30">
        <v>45107</v>
      </c>
      <c r="AK8" s="8"/>
      <c r="AL8" s="8"/>
    </row>
    <row r="9" spans="1:49">
      <c r="A9" s="8"/>
      <c r="B9" s="31"/>
      <c r="C9" s="32"/>
      <c r="D9" s="33"/>
      <c r="E9" s="32" t="s">
        <v>89</v>
      </c>
      <c r="F9" s="34"/>
      <c r="G9" s="34"/>
      <c r="H9" s="35"/>
      <c r="I9" s="36"/>
      <c r="J9" s="37"/>
      <c r="K9" s="38"/>
      <c r="L9" s="37" t="s">
        <v>89</v>
      </c>
      <c r="M9" s="39"/>
      <c r="N9" s="39"/>
      <c r="O9" s="40"/>
      <c r="P9" s="36"/>
      <c r="Q9" s="37"/>
      <c r="R9" s="38"/>
      <c r="S9" s="37" t="s">
        <v>89</v>
      </c>
      <c r="T9" s="39"/>
      <c r="U9" s="39"/>
      <c r="V9" s="40"/>
      <c r="W9" s="36"/>
      <c r="X9" s="37"/>
      <c r="Y9" s="38"/>
      <c r="Z9" s="37" t="s">
        <v>89</v>
      </c>
      <c r="AA9" s="39"/>
      <c r="AB9" s="39"/>
      <c r="AC9" s="40"/>
      <c r="AD9" s="36"/>
      <c r="AE9" s="37"/>
      <c r="AF9" s="38"/>
      <c r="AG9" s="37" t="s">
        <v>89</v>
      </c>
      <c r="AH9" s="39"/>
      <c r="AI9" s="39"/>
      <c r="AJ9" s="40"/>
      <c r="AK9" s="65"/>
      <c r="AL9" s="8"/>
      <c r="AM9" s="7"/>
      <c r="AN9" s="7"/>
      <c r="AO9" s="7"/>
      <c r="AP9" s="7"/>
      <c r="AQ9" s="7"/>
    </row>
    <row r="10" spans="1:49">
      <c r="A10" s="8"/>
      <c r="B10" s="36"/>
      <c r="C10" s="37"/>
      <c r="D10" s="38"/>
      <c r="E10" s="37"/>
      <c r="F10" s="39"/>
      <c r="G10" s="39"/>
      <c r="H10" s="40"/>
      <c r="I10" s="36"/>
      <c r="J10" s="37"/>
      <c r="K10" s="38"/>
      <c r="L10" s="37"/>
      <c r="M10" s="39"/>
      <c r="N10" s="39"/>
      <c r="O10" s="40"/>
      <c r="P10" s="36"/>
      <c r="Q10" s="37"/>
      <c r="R10" s="38"/>
      <c r="S10" s="37"/>
      <c r="T10" s="39"/>
      <c r="U10" s="39"/>
      <c r="V10" s="40"/>
      <c r="W10" s="36"/>
      <c r="X10" s="37"/>
      <c r="Y10" s="38"/>
      <c r="Z10" s="37"/>
      <c r="AA10" s="39"/>
      <c r="AB10" s="39"/>
      <c r="AC10" s="40"/>
      <c r="AD10" s="36"/>
      <c r="AE10" s="37"/>
      <c r="AF10" s="38"/>
      <c r="AG10" s="37"/>
      <c r="AH10" s="39"/>
      <c r="AI10" s="39"/>
      <c r="AJ10" s="40"/>
      <c r="AK10" s="65"/>
      <c r="AL10" s="8"/>
      <c r="AM10" s="7"/>
      <c r="AN10" s="7"/>
      <c r="AO10" s="7"/>
      <c r="AP10" s="7"/>
      <c r="AQ10" s="7"/>
    </row>
    <row r="11" spans="1:49">
      <c r="A11" s="8"/>
      <c r="B11" s="36"/>
      <c r="C11" s="37"/>
      <c r="D11" s="38"/>
      <c r="E11" s="37"/>
      <c r="F11" s="39"/>
      <c r="G11" s="39"/>
      <c r="H11" s="40"/>
      <c r="I11" s="36"/>
      <c r="J11" s="37"/>
      <c r="K11" s="38"/>
      <c r="L11" s="37"/>
      <c r="M11" s="39"/>
      <c r="N11" s="39"/>
      <c r="O11" s="40"/>
      <c r="P11" s="36"/>
      <c r="Q11" s="37"/>
      <c r="R11" s="38"/>
      <c r="S11" s="37"/>
      <c r="T11" s="39"/>
      <c r="U11" s="39"/>
      <c r="V11" s="40"/>
      <c r="W11" s="36"/>
      <c r="X11" s="37"/>
      <c r="Y11" s="38"/>
      <c r="Z11" s="37"/>
      <c r="AA11" s="39"/>
      <c r="AB11" s="39"/>
      <c r="AC11" s="40"/>
      <c r="AD11" s="36"/>
      <c r="AE11" s="37"/>
      <c r="AF11" s="38"/>
      <c r="AG11" s="37"/>
      <c r="AH11" s="39"/>
      <c r="AI11" s="39"/>
      <c r="AJ11" s="40"/>
      <c r="AK11" s="65"/>
      <c r="AL11" s="8"/>
      <c r="AM11" s="7"/>
      <c r="AN11" s="7"/>
      <c r="AO11" s="7"/>
      <c r="AP11" s="7"/>
      <c r="AQ11" s="7"/>
    </row>
    <row r="12" spans="1:49">
      <c r="A12" s="8"/>
      <c r="B12" s="36"/>
      <c r="C12" s="37"/>
      <c r="D12" s="38"/>
      <c r="E12" s="37"/>
      <c r="F12" s="39"/>
      <c r="G12" s="39"/>
      <c r="H12" s="40"/>
      <c r="I12" s="36"/>
      <c r="J12" s="37"/>
      <c r="K12" s="38"/>
      <c r="L12" s="37"/>
      <c r="M12" s="39"/>
      <c r="N12" s="39"/>
      <c r="O12" s="40"/>
      <c r="P12" s="36"/>
      <c r="Q12" s="37"/>
      <c r="R12" s="38"/>
      <c r="S12" s="37"/>
      <c r="T12" s="39"/>
      <c r="U12" s="39"/>
      <c r="V12" s="40"/>
      <c r="W12" s="36"/>
      <c r="X12" s="37"/>
      <c r="Y12" s="38"/>
      <c r="Z12" s="37"/>
      <c r="AA12" s="39"/>
      <c r="AB12" s="39"/>
      <c r="AC12" s="40"/>
      <c r="AD12" s="36"/>
      <c r="AE12" s="37"/>
      <c r="AF12" s="38"/>
      <c r="AG12" s="37"/>
      <c r="AH12" s="39"/>
      <c r="AI12" s="39"/>
      <c r="AJ12" s="40"/>
      <c r="AK12" s="65"/>
      <c r="AL12" s="8"/>
      <c r="AM12" s="7"/>
      <c r="AN12" s="7"/>
      <c r="AO12" s="7"/>
      <c r="AP12" s="7"/>
      <c r="AQ12" s="7"/>
    </row>
    <row r="13" spans="1:49">
      <c r="A13" s="8"/>
      <c r="B13" s="36"/>
      <c r="C13" s="37"/>
      <c r="D13" s="38"/>
      <c r="E13" s="37"/>
      <c r="F13" s="39"/>
      <c r="G13" s="39"/>
      <c r="H13" s="40"/>
      <c r="I13" s="36"/>
      <c r="J13" s="37"/>
      <c r="K13" s="38"/>
      <c r="L13" s="37"/>
      <c r="M13" s="39"/>
      <c r="N13" s="39"/>
      <c r="O13" s="40"/>
      <c r="P13" s="36"/>
      <c r="Q13" s="37"/>
      <c r="R13" s="38"/>
      <c r="S13" s="37"/>
      <c r="T13" s="39"/>
      <c r="U13" s="39"/>
      <c r="V13" s="40"/>
      <c r="W13" s="36"/>
      <c r="X13" s="37"/>
      <c r="Y13" s="38"/>
      <c r="Z13" s="37"/>
      <c r="AA13" s="39"/>
      <c r="AB13" s="39"/>
      <c r="AC13" s="40"/>
      <c r="AD13" s="36"/>
      <c r="AE13" s="37"/>
      <c r="AF13" s="38"/>
      <c r="AG13" s="37"/>
      <c r="AH13" s="39"/>
      <c r="AI13" s="39"/>
      <c r="AJ13" s="40"/>
      <c r="AK13" s="65"/>
      <c r="AL13" s="8"/>
      <c r="AM13" s="7"/>
      <c r="AN13" s="7"/>
      <c r="AO13" s="7"/>
      <c r="AP13" s="7"/>
      <c r="AQ13" s="7"/>
    </row>
    <row r="14" spans="1:49">
      <c r="A14" s="8"/>
      <c r="B14" s="36"/>
      <c r="C14" s="37"/>
      <c r="D14" s="38"/>
      <c r="E14" s="37" t="s">
        <v>108</v>
      </c>
      <c r="F14" s="39"/>
      <c r="G14" s="39"/>
      <c r="H14" s="40"/>
      <c r="I14" s="36"/>
      <c r="J14" s="37"/>
      <c r="K14" s="38"/>
      <c r="L14" s="37" t="s">
        <v>108</v>
      </c>
      <c r="M14" s="39"/>
      <c r="N14" s="39"/>
      <c r="O14" s="40"/>
      <c r="P14" s="36"/>
      <c r="Q14" s="37"/>
      <c r="R14" s="38"/>
      <c r="S14" s="37" t="s">
        <v>108</v>
      </c>
      <c r="T14" s="39"/>
      <c r="U14" s="39"/>
      <c r="V14" s="40"/>
      <c r="W14" s="36"/>
      <c r="X14" s="37"/>
      <c r="Y14" s="38"/>
      <c r="Z14" s="37" t="s">
        <v>108</v>
      </c>
      <c r="AA14" s="39"/>
      <c r="AB14" s="39"/>
      <c r="AC14" s="40"/>
      <c r="AD14" s="36"/>
      <c r="AE14" s="37"/>
      <c r="AF14" s="38"/>
      <c r="AG14" s="37" t="s">
        <v>108</v>
      </c>
      <c r="AH14" s="39"/>
      <c r="AI14" s="39"/>
      <c r="AJ14" s="40"/>
      <c r="AK14" s="65"/>
      <c r="AL14" s="8"/>
      <c r="AM14" s="7"/>
      <c r="AN14" s="7"/>
      <c r="AO14" s="7"/>
      <c r="AP14" s="7"/>
      <c r="AQ14" s="7"/>
    </row>
    <row r="15" spans="1:49">
      <c r="A15" s="8"/>
      <c r="B15" s="36"/>
      <c r="C15" s="37"/>
      <c r="D15" s="38"/>
      <c r="E15" s="37"/>
      <c r="F15" s="39"/>
      <c r="G15" s="39"/>
      <c r="H15" s="40"/>
      <c r="I15" s="36"/>
      <c r="J15" s="37"/>
      <c r="K15" s="38"/>
      <c r="L15" s="37"/>
      <c r="M15" s="39"/>
      <c r="N15" s="39"/>
      <c r="O15" s="40"/>
      <c r="P15" s="36"/>
      <c r="Q15" s="37"/>
      <c r="R15" s="38"/>
      <c r="S15" s="37"/>
      <c r="T15" s="39"/>
      <c r="U15" s="39"/>
      <c r="V15" s="40"/>
      <c r="W15" s="36"/>
      <c r="X15" s="37"/>
      <c r="Y15" s="38"/>
      <c r="Z15" s="37"/>
      <c r="AA15" s="39"/>
      <c r="AB15" s="39"/>
      <c r="AC15" s="40"/>
      <c r="AD15" s="36"/>
      <c r="AE15" s="37"/>
      <c r="AF15" s="38"/>
      <c r="AG15" s="37"/>
      <c r="AH15" s="39"/>
      <c r="AI15" s="39"/>
      <c r="AJ15" s="40"/>
      <c r="AK15" s="8"/>
      <c r="AL15" s="8"/>
    </row>
    <row r="16" spans="1:49">
      <c r="A16" s="8"/>
      <c r="B16" s="36"/>
      <c r="C16" s="37"/>
      <c r="D16" s="38"/>
      <c r="E16" s="37"/>
      <c r="F16" s="39"/>
      <c r="G16" s="39"/>
      <c r="H16" s="40"/>
      <c r="I16" s="36"/>
      <c r="J16" s="37"/>
      <c r="K16" s="38"/>
      <c r="L16" s="37"/>
      <c r="M16" s="39"/>
      <c r="N16" s="39"/>
      <c r="O16" s="40"/>
      <c r="P16" s="36"/>
      <c r="Q16" s="37"/>
      <c r="R16" s="38"/>
      <c r="S16" s="37"/>
      <c r="T16" s="39"/>
      <c r="U16" s="39"/>
      <c r="V16" s="40"/>
      <c r="W16" s="36"/>
      <c r="X16" s="37"/>
      <c r="Y16" s="38"/>
      <c r="Z16" s="37"/>
      <c r="AA16" s="39"/>
      <c r="AB16" s="39"/>
      <c r="AC16" s="40"/>
      <c r="AD16" s="36"/>
      <c r="AE16" s="37"/>
      <c r="AF16" s="38"/>
      <c r="AG16" s="37"/>
      <c r="AH16" s="39"/>
      <c r="AI16" s="39"/>
      <c r="AJ16" s="40"/>
      <c r="AK16" s="8"/>
      <c r="AL16" s="8"/>
    </row>
    <row r="17" spans="1:38">
      <c r="A17" s="8"/>
      <c r="B17" s="36"/>
      <c r="C17" s="37"/>
      <c r="D17" s="38"/>
      <c r="E17" s="37"/>
      <c r="F17" s="39"/>
      <c r="G17" s="39"/>
      <c r="H17" s="40"/>
      <c r="I17" s="36"/>
      <c r="J17" s="37"/>
      <c r="K17" s="38"/>
      <c r="L17" s="37"/>
      <c r="M17" s="39"/>
      <c r="N17" s="39"/>
      <c r="O17" s="40"/>
      <c r="P17" s="36"/>
      <c r="Q17" s="37"/>
      <c r="R17" s="38"/>
      <c r="S17" s="37"/>
      <c r="T17" s="39"/>
      <c r="U17" s="39"/>
      <c r="V17" s="40"/>
      <c r="W17" s="36"/>
      <c r="X17" s="37"/>
      <c r="Y17" s="38"/>
      <c r="Z17" s="37"/>
      <c r="AA17" s="39"/>
      <c r="AB17" s="39"/>
      <c r="AC17" s="40"/>
      <c r="AD17" s="36"/>
      <c r="AE17" s="37"/>
      <c r="AF17" s="38"/>
      <c r="AG17" s="37"/>
      <c r="AH17" s="39"/>
      <c r="AI17" s="39"/>
      <c r="AJ17" s="40"/>
      <c r="AK17" s="8"/>
      <c r="AL17" s="8"/>
    </row>
    <row r="18" spans="1:38">
      <c r="A18" s="8"/>
      <c r="B18" s="36"/>
      <c r="C18" s="37"/>
      <c r="D18" s="38"/>
      <c r="E18" s="37"/>
      <c r="F18" s="39"/>
      <c r="G18" s="39"/>
      <c r="H18" s="40"/>
      <c r="I18" s="36"/>
      <c r="J18" s="37"/>
      <c r="K18" s="38"/>
      <c r="L18" s="37"/>
      <c r="M18" s="39"/>
      <c r="N18" s="39"/>
      <c r="O18" s="40"/>
      <c r="P18" s="36"/>
      <c r="Q18" s="37"/>
      <c r="R18" s="38"/>
      <c r="S18" s="37"/>
      <c r="T18" s="39"/>
      <c r="U18" s="39"/>
      <c r="V18" s="40"/>
      <c r="W18" s="36"/>
      <c r="X18" s="37"/>
      <c r="Y18" s="38"/>
      <c r="Z18" s="37"/>
      <c r="AA18" s="39"/>
      <c r="AB18" s="39"/>
      <c r="AC18" s="40"/>
      <c r="AD18" s="36"/>
      <c r="AE18" s="37"/>
      <c r="AF18" s="38"/>
      <c r="AG18" s="37"/>
      <c r="AH18" s="39"/>
      <c r="AI18" s="39"/>
      <c r="AJ18" s="40"/>
      <c r="AK18" s="8"/>
      <c r="AL18" s="8"/>
    </row>
    <row r="19" spans="1:38" ht="18.75" thickBot="1">
      <c r="A19" s="8"/>
      <c r="B19" s="41"/>
      <c r="C19" s="42"/>
      <c r="D19" s="43"/>
      <c r="E19" s="42"/>
      <c r="F19" s="44"/>
      <c r="G19" s="44"/>
      <c r="H19" s="45"/>
      <c r="I19" s="41"/>
      <c r="J19" s="42"/>
      <c r="K19" s="43"/>
      <c r="L19" s="42"/>
      <c r="M19" s="44"/>
      <c r="N19" s="44"/>
      <c r="O19" s="45"/>
      <c r="P19" s="41"/>
      <c r="Q19" s="42"/>
      <c r="R19" s="43"/>
      <c r="S19" s="42"/>
      <c r="T19" s="44"/>
      <c r="U19" s="44"/>
      <c r="V19" s="45"/>
      <c r="W19" s="41"/>
      <c r="X19" s="42"/>
      <c r="Y19" s="43"/>
      <c r="Z19" s="42"/>
      <c r="AA19" s="44"/>
      <c r="AB19" s="44"/>
      <c r="AC19" s="45"/>
      <c r="AD19" s="41"/>
      <c r="AE19" s="42"/>
      <c r="AF19" s="43"/>
      <c r="AG19" s="42"/>
      <c r="AH19" s="44"/>
      <c r="AI19" s="44"/>
      <c r="AJ19" s="45"/>
      <c r="AK19" s="8"/>
      <c r="AL19" s="8"/>
    </row>
    <row r="20" spans="1:38" ht="18.75" customHeight="1">
      <c r="A20" s="8"/>
      <c r="B20" s="146" t="s">
        <v>88</v>
      </c>
      <c r="C20" s="147"/>
      <c r="D20" s="147"/>
      <c r="E20" s="147"/>
      <c r="F20" s="147"/>
      <c r="G20" s="147"/>
      <c r="H20" s="30">
        <v>45110</v>
      </c>
      <c r="I20" s="146" t="s">
        <v>88</v>
      </c>
      <c r="J20" s="147"/>
      <c r="K20" s="147"/>
      <c r="L20" s="147"/>
      <c r="M20" s="147"/>
      <c r="N20" s="147"/>
      <c r="O20" s="30">
        <v>45111</v>
      </c>
      <c r="P20" s="146" t="s">
        <v>88</v>
      </c>
      <c r="Q20" s="147"/>
      <c r="R20" s="147"/>
      <c r="S20" s="147"/>
      <c r="T20" s="147"/>
      <c r="U20" s="147"/>
      <c r="V20" s="30">
        <v>45112</v>
      </c>
      <c r="W20" s="146" t="s">
        <v>88</v>
      </c>
      <c r="X20" s="147"/>
      <c r="Y20" s="147"/>
      <c r="Z20" s="147"/>
      <c r="AA20" s="147"/>
      <c r="AB20" s="147"/>
      <c r="AC20" s="30">
        <v>45113</v>
      </c>
      <c r="AD20" s="146" t="s">
        <v>88</v>
      </c>
      <c r="AE20" s="147"/>
      <c r="AF20" s="147"/>
      <c r="AG20" s="147"/>
      <c r="AH20" s="147"/>
      <c r="AI20" s="147"/>
      <c r="AJ20" s="30">
        <v>45114</v>
      </c>
      <c r="AK20" s="8"/>
      <c r="AL20" s="8"/>
    </row>
    <row r="21" spans="1:38">
      <c r="A21" s="8"/>
      <c r="B21" s="36" t="s">
        <v>90</v>
      </c>
      <c r="C21" s="37" t="s">
        <v>91</v>
      </c>
      <c r="D21" s="105" t="s">
        <v>174</v>
      </c>
      <c r="E21" s="37" t="s">
        <v>89</v>
      </c>
      <c r="F21" s="39" t="s">
        <v>97</v>
      </c>
      <c r="G21" s="39">
        <v>2</v>
      </c>
      <c r="H21" s="40">
        <v>45113</v>
      </c>
      <c r="I21" s="36"/>
      <c r="J21" s="37"/>
      <c r="K21" s="38"/>
      <c r="L21" s="37" t="s">
        <v>89</v>
      </c>
      <c r="M21" s="39"/>
      <c r="N21" s="39"/>
      <c r="O21" s="40"/>
      <c r="P21" s="36" t="s">
        <v>94</v>
      </c>
      <c r="Q21" s="37" t="s">
        <v>95</v>
      </c>
      <c r="R21" s="105" t="s">
        <v>175</v>
      </c>
      <c r="S21" s="37" t="s">
        <v>89</v>
      </c>
      <c r="T21" s="39" t="s">
        <v>97</v>
      </c>
      <c r="U21" s="39">
        <v>2</v>
      </c>
      <c r="V21" s="40">
        <v>45127</v>
      </c>
      <c r="W21" s="36"/>
      <c r="X21" s="37"/>
      <c r="Y21" s="38"/>
      <c r="Z21" s="37" t="s">
        <v>89</v>
      </c>
      <c r="AA21" s="39"/>
      <c r="AB21" s="39"/>
      <c r="AC21" s="40"/>
      <c r="AD21" s="36" t="s">
        <v>94</v>
      </c>
      <c r="AE21" s="37" t="s">
        <v>98</v>
      </c>
      <c r="AF21" s="105" t="s">
        <v>176</v>
      </c>
      <c r="AG21" s="37" t="s">
        <v>89</v>
      </c>
      <c r="AH21" s="39" t="s">
        <v>97</v>
      </c>
      <c r="AI21" s="39">
        <v>2</v>
      </c>
      <c r="AJ21" s="40">
        <v>45127</v>
      </c>
      <c r="AK21" s="8"/>
      <c r="AL21" s="8"/>
    </row>
    <row r="22" spans="1:38">
      <c r="A22" s="8"/>
      <c r="B22" s="36" t="s">
        <v>90</v>
      </c>
      <c r="C22" s="37" t="s">
        <v>91</v>
      </c>
      <c r="D22" s="105" t="s">
        <v>177</v>
      </c>
      <c r="E22" s="37" t="s">
        <v>89</v>
      </c>
      <c r="F22" s="39" t="s">
        <v>97</v>
      </c>
      <c r="G22" s="39">
        <v>2</v>
      </c>
      <c r="H22" s="40">
        <v>45113</v>
      </c>
      <c r="I22" s="36"/>
      <c r="J22" s="37"/>
      <c r="K22" s="38"/>
      <c r="L22" s="37"/>
      <c r="M22" s="39"/>
      <c r="N22" s="39"/>
      <c r="O22" s="40"/>
      <c r="P22" s="36" t="s">
        <v>94</v>
      </c>
      <c r="Q22" s="37" t="s">
        <v>102</v>
      </c>
      <c r="R22" s="105" t="s">
        <v>178</v>
      </c>
      <c r="S22" s="37" t="s">
        <v>89</v>
      </c>
      <c r="T22" s="39" t="s">
        <v>97</v>
      </c>
      <c r="U22" s="39">
        <v>2</v>
      </c>
      <c r="V22" s="40">
        <v>45127</v>
      </c>
      <c r="W22" s="36"/>
      <c r="X22" s="37"/>
      <c r="Y22" s="38"/>
      <c r="Z22" s="37"/>
      <c r="AA22" s="39"/>
      <c r="AB22" s="39"/>
      <c r="AC22" s="40"/>
      <c r="AD22" s="36" t="s">
        <v>109</v>
      </c>
      <c r="AE22" s="37" t="s">
        <v>110</v>
      </c>
      <c r="AF22" s="105" t="s">
        <v>179</v>
      </c>
      <c r="AG22" s="37" t="s">
        <v>89</v>
      </c>
      <c r="AH22" s="39" t="s">
        <v>93</v>
      </c>
      <c r="AI22" s="39">
        <v>4</v>
      </c>
      <c r="AJ22" s="40">
        <v>45154</v>
      </c>
      <c r="AK22" s="8"/>
      <c r="AL22" s="8"/>
    </row>
    <row r="23" spans="1:38">
      <c r="A23" s="8"/>
      <c r="B23" s="36" t="s">
        <v>100</v>
      </c>
      <c r="C23" s="37" t="s">
        <v>102</v>
      </c>
      <c r="D23" s="105" t="s">
        <v>180</v>
      </c>
      <c r="E23" s="37" t="s">
        <v>89</v>
      </c>
      <c r="F23" s="39" t="s">
        <v>97</v>
      </c>
      <c r="G23" s="39">
        <v>2</v>
      </c>
      <c r="H23" s="40"/>
      <c r="I23" s="36"/>
      <c r="J23" s="37"/>
      <c r="K23" s="38"/>
      <c r="L23" s="37"/>
      <c r="M23" s="39"/>
      <c r="N23" s="39"/>
      <c r="O23" s="40"/>
      <c r="P23" s="36"/>
      <c r="Q23" s="37"/>
      <c r="R23" s="38"/>
      <c r="S23" s="37"/>
      <c r="T23" s="39"/>
      <c r="U23" s="39"/>
      <c r="V23" s="40"/>
      <c r="W23" s="36"/>
      <c r="X23" s="37"/>
      <c r="Y23" s="38"/>
      <c r="Z23" s="37"/>
      <c r="AA23" s="39"/>
      <c r="AB23" s="39"/>
      <c r="AC23" s="40"/>
      <c r="AD23" s="36"/>
      <c r="AE23" s="37"/>
      <c r="AF23" s="38"/>
      <c r="AG23" s="37"/>
      <c r="AH23" s="39"/>
      <c r="AI23" s="39"/>
      <c r="AJ23" s="40"/>
      <c r="AK23" s="8"/>
      <c r="AL23" s="8"/>
    </row>
    <row r="24" spans="1:38">
      <c r="A24" s="8"/>
      <c r="B24" s="36"/>
      <c r="C24" s="37"/>
      <c r="D24" s="38"/>
      <c r="E24" s="37"/>
      <c r="F24" s="39"/>
      <c r="G24" s="39"/>
      <c r="H24" s="40"/>
      <c r="I24" s="36"/>
      <c r="J24" s="37"/>
      <c r="K24" s="38"/>
      <c r="L24" s="37"/>
      <c r="M24" s="39"/>
      <c r="N24" s="39"/>
      <c r="O24" s="40"/>
      <c r="P24" s="36"/>
      <c r="Q24" s="37"/>
      <c r="R24" s="38"/>
      <c r="S24" s="37"/>
      <c r="T24" s="39"/>
      <c r="U24" s="39"/>
      <c r="V24" s="40"/>
      <c r="W24" s="36"/>
      <c r="X24" s="37"/>
      <c r="Y24" s="38"/>
      <c r="Z24" s="37"/>
      <c r="AA24" s="39"/>
      <c r="AB24" s="39"/>
      <c r="AC24" s="40"/>
      <c r="AD24" s="36"/>
      <c r="AE24" s="37"/>
      <c r="AF24" s="38"/>
      <c r="AG24" s="37"/>
      <c r="AH24" s="39"/>
      <c r="AI24" s="39"/>
      <c r="AJ24" s="40"/>
      <c r="AK24" s="8"/>
      <c r="AL24" s="8"/>
    </row>
    <row r="25" spans="1:38">
      <c r="A25" s="8"/>
      <c r="B25" s="36"/>
      <c r="C25" s="37"/>
      <c r="D25" s="38"/>
      <c r="E25" s="37"/>
      <c r="F25" s="39"/>
      <c r="G25" s="39"/>
      <c r="H25" s="40"/>
      <c r="I25" s="36"/>
      <c r="J25" s="37"/>
      <c r="K25" s="38"/>
      <c r="L25" s="37"/>
      <c r="M25" s="39"/>
      <c r="N25" s="39"/>
      <c r="O25" s="40"/>
      <c r="P25" s="36"/>
      <c r="Q25" s="37"/>
      <c r="R25" s="38"/>
      <c r="S25" s="37"/>
      <c r="T25" s="39"/>
      <c r="U25" s="39"/>
      <c r="V25" s="40"/>
      <c r="W25" s="36"/>
      <c r="X25" s="37"/>
      <c r="Y25" s="38"/>
      <c r="Z25" s="37"/>
      <c r="AA25" s="39"/>
      <c r="AB25" s="39"/>
      <c r="AC25" s="40"/>
      <c r="AD25" s="36"/>
      <c r="AE25" s="37"/>
      <c r="AF25" s="38"/>
      <c r="AG25" s="37"/>
      <c r="AH25" s="39"/>
      <c r="AI25" s="39"/>
      <c r="AJ25" s="40"/>
      <c r="AK25" s="8"/>
      <c r="AL25" s="8"/>
    </row>
    <row r="26" spans="1:38" ht="33">
      <c r="A26" s="8"/>
      <c r="B26" s="36"/>
      <c r="C26" s="37"/>
      <c r="D26" s="38"/>
      <c r="E26" s="37" t="s">
        <v>108</v>
      </c>
      <c r="F26" s="39"/>
      <c r="G26" s="39"/>
      <c r="H26" s="40"/>
      <c r="I26" s="36" t="s">
        <v>94</v>
      </c>
      <c r="J26" s="37" t="s">
        <v>98</v>
      </c>
      <c r="K26" s="105" t="s">
        <v>181</v>
      </c>
      <c r="L26" s="37" t="s">
        <v>108</v>
      </c>
      <c r="M26" s="39" t="s">
        <v>97</v>
      </c>
      <c r="N26" s="39">
        <v>2</v>
      </c>
      <c r="O26" s="40">
        <v>45113</v>
      </c>
      <c r="P26" s="36"/>
      <c r="Q26" s="37"/>
      <c r="R26" s="38"/>
      <c r="S26" s="37" t="s">
        <v>108</v>
      </c>
      <c r="T26" s="39"/>
      <c r="U26" s="39"/>
      <c r="V26" s="40"/>
      <c r="W26" s="36" t="s">
        <v>90</v>
      </c>
      <c r="X26" s="37" t="s">
        <v>91</v>
      </c>
      <c r="Y26" s="105" t="s">
        <v>112</v>
      </c>
      <c r="Z26" s="37" t="s">
        <v>108</v>
      </c>
      <c r="AA26" s="39" t="s">
        <v>93</v>
      </c>
      <c r="AB26" s="39">
        <v>0.5</v>
      </c>
      <c r="AC26" s="40"/>
      <c r="AD26" s="36" t="s">
        <v>94</v>
      </c>
      <c r="AE26" s="37" t="s">
        <v>95</v>
      </c>
      <c r="AF26" s="105" t="s">
        <v>182</v>
      </c>
      <c r="AG26" s="37" t="s">
        <v>108</v>
      </c>
      <c r="AH26" s="39" t="s">
        <v>97</v>
      </c>
      <c r="AI26" s="39">
        <v>6</v>
      </c>
      <c r="AJ26" s="40">
        <v>45127</v>
      </c>
      <c r="AK26" s="8"/>
      <c r="AL26" s="8"/>
    </row>
    <row r="27" spans="1:38">
      <c r="A27" s="8"/>
      <c r="B27" s="36"/>
      <c r="C27" s="37"/>
      <c r="D27" s="38"/>
      <c r="E27" s="37"/>
      <c r="F27" s="39"/>
      <c r="G27" s="39"/>
      <c r="H27" s="40"/>
      <c r="I27" s="36" t="s">
        <v>100</v>
      </c>
      <c r="J27" s="37" t="s">
        <v>102</v>
      </c>
      <c r="K27" s="105" t="s">
        <v>180</v>
      </c>
      <c r="L27" s="37" t="s">
        <v>108</v>
      </c>
      <c r="M27" s="39" t="s">
        <v>97</v>
      </c>
      <c r="N27" s="39">
        <v>1</v>
      </c>
      <c r="O27" s="40"/>
      <c r="P27" s="36"/>
      <c r="Q27" s="37"/>
      <c r="R27" s="38"/>
      <c r="S27" s="37"/>
      <c r="T27" s="39"/>
      <c r="U27" s="39"/>
      <c r="V27" s="40"/>
      <c r="W27" s="36" t="s">
        <v>94</v>
      </c>
      <c r="X27" s="37" t="s">
        <v>95</v>
      </c>
      <c r="Y27" s="105" t="s">
        <v>183</v>
      </c>
      <c r="Z27" s="37" t="s">
        <v>108</v>
      </c>
      <c r="AA27" s="39" t="s">
        <v>97</v>
      </c>
      <c r="AB27" s="39">
        <v>4</v>
      </c>
      <c r="AC27" s="40">
        <v>45127</v>
      </c>
      <c r="AD27" s="36" t="s">
        <v>94</v>
      </c>
      <c r="AE27" s="37" t="s">
        <v>102</v>
      </c>
      <c r="AF27" s="105" t="s">
        <v>178</v>
      </c>
      <c r="AG27" s="37" t="s">
        <v>108</v>
      </c>
      <c r="AH27" s="39" t="s">
        <v>93</v>
      </c>
      <c r="AI27" s="39">
        <v>2</v>
      </c>
      <c r="AJ27" s="40">
        <v>45127</v>
      </c>
      <c r="AK27" s="8"/>
      <c r="AL27" s="8"/>
    </row>
    <row r="28" spans="1:38">
      <c r="A28" s="8"/>
      <c r="B28" s="36"/>
      <c r="C28" s="37"/>
      <c r="D28" s="38"/>
      <c r="E28" s="37"/>
      <c r="F28" s="39"/>
      <c r="G28" s="39"/>
      <c r="H28" s="40"/>
      <c r="I28" s="36"/>
      <c r="J28" s="37"/>
      <c r="K28" s="38"/>
      <c r="L28" s="37"/>
      <c r="M28" s="39"/>
      <c r="N28" s="39"/>
      <c r="O28" s="40"/>
      <c r="P28" s="36"/>
      <c r="Q28" s="37"/>
      <c r="R28" s="38"/>
      <c r="S28" s="37"/>
      <c r="T28" s="39"/>
      <c r="U28" s="39"/>
      <c r="V28" s="40"/>
      <c r="W28" s="36"/>
      <c r="X28" s="37"/>
      <c r="Y28" s="38"/>
      <c r="Z28" s="37"/>
      <c r="AA28" s="39"/>
      <c r="AB28" s="39"/>
      <c r="AC28" s="40"/>
      <c r="AD28" s="36"/>
      <c r="AE28" s="37"/>
      <c r="AF28" s="38"/>
      <c r="AG28" s="37"/>
      <c r="AH28" s="39"/>
      <c r="AI28" s="39"/>
      <c r="AJ28" s="40"/>
      <c r="AK28" s="8"/>
      <c r="AL28" s="8"/>
    </row>
    <row r="29" spans="1:38">
      <c r="A29" s="8"/>
      <c r="B29" s="36"/>
      <c r="C29" s="37"/>
      <c r="D29" s="38"/>
      <c r="E29" s="37"/>
      <c r="F29" s="39"/>
      <c r="G29" s="39"/>
      <c r="H29" s="40"/>
      <c r="I29" s="36"/>
      <c r="J29" s="37"/>
      <c r="K29" s="38"/>
      <c r="L29" s="37"/>
      <c r="M29" s="39"/>
      <c r="N29" s="39"/>
      <c r="O29" s="40"/>
      <c r="P29" s="36"/>
      <c r="Q29" s="37"/>
      <c r="R29" s="38"/>
      <c r="S29" s="37"/>
      <c r="T29" s="39"/>
      <c r="U29" s="39"/>
      <c r="V29" s="40"/>
      <c r="W29" s="36"/>
      <c r="X29" s="37"/>
      <c r="Y29" s="38"/>
      <c r="Z29" s="37"/>
      <c r="AA29" s="39"/>
      <c r="AB29" s="39"/>
      <c r="AC29" s="40"/>
      <c r="AD29" s="36"/>
      <c r="AE29" s="37"/>
      <c r="AF29" s="38"/>
      <c r="AG29" s="37"/>
      <c r="AH29" s="39"/>
      <c r="AI29" s="39"/>
      <c r="AJ29" s="40"/>
      <c r="AK29" s="8"/>
      <c r="AL29" s="8"/>
    </row>
    <row r="30" spans="1:38">
      <c r="A30" s="8"/>
      <c r="B30" s="36"/>
      <c r="C30" s="37"/>
      <c r="D30" s="38"/>
      <c r="E30" s="37"/>
      <c r="F30" s="39"/>
      <c r="G30" s="39"/>
      <c r="H30" s="40"/>
      <c r="I30" s="36"/>
      <c r="J30" s="37"/>
      <c r="K30" s="38"/>
      <c r="L30" s="37"/>
      <c r="M30" s="39"/>
      <c r="N30" s="39"/>
      <c r="O30" s="40"/>
      <c r="P30" s="36"/>
      <c r="Q30" s="37"/>
      <c r="R30" s="38"/>
      <c r="S30" s="37"/>
      <c r="T30" s="39"/>
      <c r="U30" s="39"/>
      <c r="V30" s="40"/>
      <c r="W30" s="36"/>
      <c r="X30" s="37"/>
      <c r="Y30" s="38"/>
      <c r="Z30" s="37"/>
      <c r="AA30" s="39"/>
      <c r="AB30" s="39"/>
      <c r="AC30" s="40"/>
      <c r="AD30" s="36"/>
      <c r="AE30" s="37"/>
      <c r="AF30" s="38"/>
      <c r="AG30" s="37"/>
      <c r="AH30" s="39"/>
      <c r="AI30" s="39"/>
      <c r="AJ30" s="40"/>
      <c r="AK30" s="8"/>
      <c r="AL30" s="8"/>
    </row>
    <row r="31" spans="1:38" ht="18.75" thickBot="1">
      <c r="A31" s="8"/>
      <c r="B31" s="41"/>
      <c r="C31" s="42"/>
      <c r="D31" s="43"/>
      <c r="E31" s="42"/>
      <c r="F31" s="44"/>
      <c r="G31" s="44"/>
      <c r="H31" s="45"/>
      <c r="I31" s="41"/>
      <c r="J31" s="42"/>
      <c r="K31" s="43"/>
      <c r="L31" s="42"/>
      <c r="M31" s="44"/>
      <c r="N31" s="44"/>
      <c r="O31" s="45"/>
      <c r="P31" s="41"/>
      <c r="Q31" s="42"/>
      <c r="R31" s="43"/>
      <c r="S31" s="42"/>
      <c r="T31" s="44"/>
      <c r="U31" s="44"/>
      <c r="V31" s="45"/>
      <c r="W31" s="41"/>
      <c r="X31" s="42"/>
      <c r="Y31" s="43"/>
      <c r="Z31" s="42"/>
      <c r="AA31" s="44"/>
      <c r="AB31" s="44"/>
      <c r="AC31" s="45"/>
      <c r="AD31" s="41"/>
      <c r="AE31" s="42"/>
      <c r="AF31" s="43"/>
      <c r="AG31" s="42"/>
      <c r="AH31" s="44"/>
      <c r="AI31" s="44"/>
      <c r="AJ31" s="45"/>
      <c r="AK31" s="8"/>
      <c r="AL31" s="8"/>
    </row>
    <row r="32" spans="1:38">
      <c r="A32" s="8"/>
      <c r="B32" s="146" t="s">
        <v>88</v>
      </c>
      <c r="C32" s="147"/>
      <c r="D32" s="147"/>
      <c r="E32" s="147"/>
      <c r="F32" s="147"/>
      <c r="G32" s="147"/>
      <c r="H32" s="30">
        <v>45117</v>
      </c>
      <c r="I32" s="146" t="s">
        <v>88</v>
      </c>
      <c r="J32" s="147"/>
      <c r="K32" s="147"/>
      <c r="L32" s="147"/>
      <c r="M32" s="147"/>
      <c r="N32" s="147"/>
      <c r="O32" s="30">
        <v>45118</v>
      </c>
      <c r="P32" s="146" t="s">
        <v>88</v>
      </c>
      <c r="Q32" s="147"/>
      <c r="R32" s="147"/>
      <c r="S32" s="147"/>
      <c r="T32" s="147"/>
      <c r="U32" s="147"/>
      <c r="V32" s="30">
        <v>45119</v>
      </c>
      <c r="W32" s="146" t="s">
        <v>88</v>
      </c>
      <c r="X32" s="147"/>
      <c r="Y32" s="147"/>
      <c r="Z32" s="147"/>
      <c r="AA32" s="147"/>
      <c r="AB32" s="147"/>
      <c r="AC32" s="30">
        <v>45120</v>
      </c>
      <c r="AD32" s="146" t="s">
        <v>88</v>
      </c>
      <c r="AE32" s="147"/>
      <c r="AF32" s="147"/>
      <c r="AG32" s="147"/>
      <c r="AH32" s="147"/>
      <c r="AI32" s="147"/>
      <c r="AJ32" s="30">
        <v>45121</v>
      </c>
      <c r="AK32" s="8"/>
      <c r="AL32" s="8"/>
    </row>
    <row r="33" spans="1:38">
      <c r="A33" s="8"/>
      <c r="B33" s="36" t="s">
        <v>90</v>
      </c>
      <c r="C33" s="37" t="s">
        <v>91</v>
      </c>
      <c r="D33" s="105" t="s">
        <v>184</v>
      </c>
      <c r="E33" s="37" t="s">
        <v>89</v>
      </c>
      <c r="F33" s="39" t="s">
        <v>97</v>
      </c>
      <c r="G33" s="39">
        <v>3</v>
      </c>
      <c r="H33" s="40">
        <v>45120</v>
      </c>
      <c r="I33" s="36"/>
      <c r="J33" s="37"/>
      <c r="K33" s="38"/>
      <c r="L33" s="37" t="s">
        <v>89</v>
      </c>
      <c r="M33" s="39"/>
      <c r="N33" s="39"/>
      <c r="O33" s="40"/>
      <c r="P33" s="36" t="s">
        <v>94</v>
      </c>
      <c r="Q33" s="37" t="s">
        <v>98</v>
      </c>
      <c r="R33" s="105" t="s">
        <v>185</v>
      </c>
      <c r="S33" s="37" t="s">
        <v>89</v>
      </c>
      <c r="T33" s="39" t="s">
        <v>97</v>
      </c>
      <c r="U33" s="39">
        <v>4</v>
      </c>
      <c r="V33" s="40">
        <v>45127</v>
      </c>
      <c r="W33" s="36" t="s">
        <v>109</v>
      </c>
      <c r="X33" s="37" t="s">
        <v>102</v>
      </c>
      <c r="Y33" s="105" t="s">
        <v>186</v>
      </c>
      <c r="Z33" s="37" t="s">
        <v>89</v>
      </c>
      <c r="AA33" s="39" t="s">
        <v>97</v>
      </c>
      <c r="AB33" s="39">
        <v>4</v>
      </c>
      <c r="AC33" s="40">
        <v>45122</v>
      </c>
      <c r="AD33" s="36" t="s">
        <v>94</v>
      </c>
      <c r="AE33" s="37" t="s">
        <v>98</v>
      </c>
      <c r="AF33" s="105" t="s">
        <v>187</v>
      </c>
      <c r="AG33" s="37" t="s">
        <v>89</v>
      </c>
      <c r="AH33" s="39" t="s">
        <v>97</v>
      </c>
      <c r="AI33" s="39">
        <v>1</v>
      </c>
      <c r="AJ33" s="40">
        <v>45127</v>
      </c>
      <c r="AK33" s="8"/>
      <c r="AL33" s="8"/>
    </row>
    <row r="34" spans="1:38">
      <c r="A34" s="8"/>
      <c r="B34" s="36" t="s">
        <v>90</v>
      </c>
      <c r="C34" s="37" t="s">
        <v>91</v>
      </c>
      <c r="D34" s="105" t="s">
        <v>188</v>
      </c>
      <c r="E34" s="37" t="s">
        <v>89</v>
      </c>
      <c r="F34" s="39" t="s">
        <v>97</v>
      </c>
      <c r="G34" s="39">
        <v>2</v>
      </c>
      <c r="H34" s="40">
        <v>45120</v>
      </c>
      <c r="I34" s="36"/>
      <c r="J34" s="37"/>
      <c r="K34" s="38"/>
      <c r="L34" s="37"/>
      <c r="M34" s="39"/>
      <c r="N34" s="39"/>
      <c r="O34" s="40"/>
      <c r="P34" s="36"/>
      <c r="Q34" s="37"/>
      <c r="R34" s="38"/>
      <c r="S34" s="37"/>
      <c r="T34" s="39"/>
      <c r="U34" s="39"/>
      <c r="V34" s="40"/>
      <c r="W34" s="36" t="s">
        <v>106</v>
      </c>
      <c r="X34" s="37" t="s">
        <v>95</v>
      </c>
      <c r="Y34" s="105" t="s">
        <v>189</v>
      </c>
      <c r="Z34" s="37" t="s">
        <v>89</v>
      </c>
      <c r="AA34" s="39" t="s">
        <v>97</v>
      </c>
      <c r="AB34" s="39">
        <v>4</v>
      </c>
      <c r="AC34" s="40">
        <v>45121</v>
      </c>
      <c r="AD34" s="36" t="s">
        <v>94</v>
      </c>
      <c r="AE34" s="37" t="s">
        <v>95</v>
      </c>
      <c r="AF34" s="105" t="s">
        <v>190</v>
      </c>
      <c r="AG34" s="37" t="s">
        <v>89</v>
      </c>
      <c r="AH34" s="39" t="s">
        <v>97</v>
      </c>
      <c r="AI34" s="39">
        <v>1</v>
      </c>
      <c r="AJ34" s="40">
        <v>45127</v>
      </c>
      <c r="AK34" s="8"/>
      <c r="AL34" s="8"/>
    </row>
    <row r="35" spans="1:38">
      <c r="A35" s="8"/>
      <c r="B35" s="36"/>
      <c r="C35" s="37"/>
      <c r="D35" s="38"/>
      <c r="E35" s="37"/>
      <c r="F35" s="39"/>
      <c r="G35" s="39"/>
      <c r="H35" s="40"/>
      <c r="I35" s="36"/>
      <c r="J35" s="37"/>
      <c r="K35" s="38"/>
      <c r="L35" s="37"/>
      <c r="M35" s="39"/>
      <c r="N35" s="39"/>
      <c r="O35" s="40"/>
      <c r="P35" s="36"/>
      <c r="Q35" s="37"/>
      <c r="R35" s="38"/>
      <c r="S35" s="37"/>
      <c r="T35" s="39"/>
      <c r="U35" s="39"/>
      <c r="V35" s="40"/>
      <c r="W35" s="36"/>
      <c r="X35" s="37"/>
      <c r="Y35" s="38"/>
      <c r="Z35" s="37"/>
      <c r="AA35" s="39"/>
      <c r="AB35" s="39"/>
      <c r="AC35" s="40"/>
      <c r="AD35" s="36" t="s">
        <v>94</v>
      </c>
      <c r="AE35" s="37" t="s">
        <v>102</v>
      </c>
      <c r="AF35" s="105" t="s">
        <v>191</v>
      </c>
      <c r="AG35" s="37" t="s">
        <v>89</v>
      </c>
      <c r="AH35" s="39" t="s">
        <v>97</v>
      </c>
      <c r="AI35" s="39">
        <v>1</v>
      </c>
      <c r="AJ35" s="40">
        <v>45127</v>
      </c>
      <c r="AK35" s="8"/>
      <c r="AL35" s="8"/>
    </row>
    <row r="36" spans="1:38">
      <c r="A36" s="8"/>
      <c r="B36" s="36"/>
      <c r="C36" s="37"/>
      <c r="D36" s="38"/>
      <c r="E36" s="37"/>
      <c r="F36" s="39"/>
      <c r="G36" s="39"/>
      <c r="H36" s="40"/>
      <c r="I36" s="36"/>
      <c r="J36" s="37"/>
      <c r="K36" s="38"/>
      <c r="L36" s="37"/>
      <c r="M36" s="39"/>
      <c r="N36" s="39"/>
      <c r="O36" s="40"/>
      <c r="P36" s="36"/>
      <c r="Q36" s="37"/>
      <c r="R36" s="38"/>
      <c r="S36" s="37"/>
      <c r="T36" s="39"/>
      <c r="U36" s="39"/>
      <c r="V36" s="40"/>
      <c r="W36" s="36"/>
      <c r="X36" s="37"/>
      <c r="Y36" s="38"/>
      <c r="Z36" s="37"/>
      <c r="AA36" s="39"/>
      <c r="AB36" s="39"/>
      <c r="AC36" s="40"/>
      <c r="AD36" s="36" t="s">
        <v>100</v>
      </c>
      <c r="AE36" s="37"/>
      <c r="AF36" s="105" t="s">
        <v>192</v>
      </c>
      <c r="AG36" s="37" t="s">
        <v>89</v>
      </c>
      <c r="AH36" s="39" t="s">
        <v>93</v>
      </c>
      <c r="AI36" s="39">
        <v>4</v>
      </c>
      <c r="AJ36" s="40"/>
      <c r="AK36" s="8"/>
      <c r="AL36" s="8"/>
    </row>
    <row r="37" spans="1:38" ht="33">
      <c r="A37" s="8"/>
      <c r="B37" s="36"/>
      <c r="C37" s="37"/>
      <c r="D37" s="38"/>
      <c r="E37" s="37"/>
      <c r="F37" s="39"/>
      <c r="G37" s="39"/>
      <c r="H37" s="40"/>
      <c r="I37" s="36"/>
      <c r="J37" s="37"/>
      <c r="K37" s="38"/>
      <c r="L37" s="37"/>
      <c r="M37" s="39"/>
      <c r="N37" s="39"/>
      <c r="O37" s="40"/>
      <c r="P37" s="36"/>
      <c r="Q37" s="37"/>
      <c r="R37" s="38"/>
      <c r="S37" s="37"/>
      <c r="T37" s="39"/>
      <c r="U37" s="39"/>
      <c r="V37" s="40"/>
      <c r="W37" s="36"/>
      <c r="X37" s="37"/>
      <c r="Y37" s="38"/>
      <c r="Z37" s="37"/>
      <c r="AA37" s="39"/>
      <c r="AB37" s="39"/>
      <c r="AC37" s="40"/>
      <c r="AD37" s="36" t="s">
        <v>106</v>
      </c>
      <c r="AE37" s="37" t="s">
        <v>95</v>
      </c>
      <c r="AF37" s="105" t="s">
        <v>193</v>
      </c>
      <c r="AG37" s="37" t="s">
        <v>89</v>
      </c>
      <c r="AH37" s="39" t="s">
        <v>97</v>
      </c>
      <c r="AI37" s="39">
        <v>4</v>
      </c>
      <c r="AJ37" s="40">
        <v>45121</v>
      </c>
      <c r="AK37" s="8"/>
      <c r="AL37" s="8"/>
    </row>
    <row r="38" spans="1:38">
      <c r="A38" s="8"/>
      <c r="B38" s="36" t="s">
        <v>94</v>
      </c>
      <c r="C38" s="37" t="s">
        <v>98</v>
      </c>
      <c r="D38" s="105" t="s">
        <v>176</v>
      </c>
      <c r="E38" s="37" t="s">
        <v>108</v>
      </c>
      <c r="F38" s="39" t="s">
        <v>97</v>
      </c>
      <c r="G38" s="39">
        <v>2</v>
      </c>
      <c r="H38" s="40">
        <v>45127</v>
      </c>
      <c r="I38" s="36"/>
      <c r="J38" s="37"/>
      <c r="K38" s="38"/>
      <c r="L38" s="37" t="s">
        <v>108</v>
      </c>
      <c r="M38" s="39"/>
      <c r="N38" s="39"/>
      <c r="O38" s="40"/>
      <c r="P38" s="36"/>
      <c r="Q38" s="37"/>
      <c r="R38" s="38"/>
      <c r="S38" s="37" t="s">
        <v>108</v>
      </c>
      <c r="T38" s="39"/>
      <c r="U38" s="39"/>
      <c r="V38" s="40"/>
      <c r="W38" s="36" t="s">
        <v>90</v>
      </c>
      <c r="X38" s="37" t="s">
        <v>91</v>
      </c>
      <c r="Y38" s="105" t="s">
        <v>112</v>
      </c>
      <c r="Z38" s="37" t="s">
        <v>108</v>
      </c>
      <c r="AA38" s="39" t="s">
        <v>93</v>
      </c>
      <c r="AB38" s="39">
        <v>0.5</v>
      </c>
      <c r="AC38" s="40"/>
      <c r="AD38" s="36" t="s">
        <v>109</v>
      </c>
      <c r="AE38" s="37" t="s">
        <v>102</v>
      </c>
      <c r="AF38" s="105" t="s">
        <v>186</v>
      </c>
      <c r="AG38" s="37" t="s">
        <v>108</v>
      </c>
      <c r="AH38" s="39" t="s">
        <v>97</v>
      </c>
      <c r="AI38" s="39">
        <v>2</v>
      </c>
      <c r="AJ38" s="40">
        <v>45122</v>
      </c>
      <c r="AK38" s="8"/>
      <c r="AL38" s="8"/>
    </row>
    <row r="39" spans="1:38">
      <c r="A39" s="8"/>
      <c r="B39" s="36" t="s">
        <v>109</v>
      </c>
      <c r="C39" s="37" t="s">
        <v>110</v>
      </c>
      <c r="D39" s="105" t="s">
        <v>179</v>
      </c>
      <c r="E39" s="37" t="s">
        <v>108</v>
      </c>
      <c r="F39" s="39" t="s">
        <v>97</v>
      </c>
      <c r="G39" s="39">
        <v>2</v>
      </c>
      <c r="H39" s="40">
        <v>45154</v>
      </c>
      <c r="I39" s="36"/>
      <c r="J39" s="37"/>
      <c r="K39" s="38"/>
      <c r="L39" s="37"/>
      <c r="M39" s="39"/>
      <c r="N39" s="39"/>
      <c r="O39" s="40"/>
      <c r="P39" s="36"/>
      <c r="Q39" s="37"/>
      <c r="R39" s="38"/>
      <c r="S39" s="37"/>
      <c r="T39" s="39"/>
      <c r="U39" s="39"/>
      <c r="V39" s="40"/>
      <c r="W39" s="36" t="s">
        <v>94</v>
      </c>
      <c r="X39" s="37" t="s">
        <v>98</v>
      </c>
      <c r="Y39" s="105" t="s">
        <v>194</v>
      </c>
      <c r="Z39" s="37" t="s">
        <v>108</v>
      </c>
      <c r="AA39" s="39" t="s">
        <v>97</v>
      </c>
      <c r="AB39" s="39">
        <v>2</v>
      </c>
      <c r="AC39" s="40">
        <v>45127</v>
      </c>
      <c r="AD39" s="36" t="s">
        <v>106</v>
      </c>
      <c r="AE39" s="37" t="s">
        <v>95</v>
      </c>
      <c r="AF39" s="105" t="s">
        <v>189</v>
      </c>
      <c r="AG39" s="37" t="s">
        <v>108</v>
      </c>
      <c r="AH39" s="39" t="s">
        <v>97</v>
      </c>
      <c r="AI39" s="39">
        <v>2</v>
      </c>
      <c r="AJ39" s="40">
        <v>45121</v>
      </c>
      <c r="AK39" s="8"/>
      <c r="AL39" s="8"/>
    </row>
    <row r="40" spans="1:38">
      <c r="A40" s="8"/>
      <c r="B40" s="36"/>
      <c r="C40" s="37"/>
      <c r="D40" s="38"/>
      <c r="E40" s="37"/>
      <c r="F40" s="39"/>
      <c r="G40" s="39"/>
      <c r="H40" s="40"/>
      <c r="I40" s="36"/>
      <c r="J40" s="37"/>
      <c r="K40" s="38"/>
      <c r="L40" s="37"/>
      <c r="M40" s="39"/>
      <c r="N40" s="39"/>
      <c r="O40" s="40"/>
      <c r="P40" s="36"/>
      <c r="Q40" s="37"/>
      <c r="R40" s="38"/>
      <c r="S40" s="37"/>
      <c r="T40" s="39"/>
      <c r="U40" s="39"/>
      <c r="V40" s="40"/>
      <c r="W40" s="36" t="s">
        <v>94</v>
      </c>
      <c r="X40" s="37" t="s">
        <v>98</v>
      </c>
      <c r="Y40" s="105" t="s">
        <v>195</v>
      </c>
      <c r="Z40" s="37" t="s">
        <v>108</v>
      </c>
      <c r="AA40" s="39" t="s">
        <v>97</v>
      </c>
      <c r="AB40" s="39">
        <v>1</v>
      </c>
      <c r="AC40" s="40">
        <v>45127</v>
      </c>
      <c r="AD40" s="36"/>
      <c r="AE40" s="37"/>
      <c r="AF40" s="38"/>
      <c r="AG40" s="37"/>
      <c r="AH40" s="39"/>
      <c r="AI40" s="39"/>
      <c r="AJ40" s="40"/>
      <c r="AK40" s="8"/>
      <c r="AL40" s="8"/>
    </row>
    <row r="41" spans="1:38">
      <c r="A41" s="8"/>
      <c r="B41" s="36"/>
      <c r="C41" s="37"/>
      <c r="D41" s="38"/>
      <c r="E41" s="37"/>
      <c r="F41" s="39"/>
      <c r="G41" s="39"/>
      <c r="H41" s="40"/>
      <c r="I41" s="36"/>
      <c r="J41" s="37"/>
      <c r="K41" s="38"/>
      <c r="L41" s="37"/>
      <c r="M41" s="39"/>
      <c r="N41" s="39"/>
      <c r="O41" s="40"/>
      <c r="P41" s="36"/>
      <c r="Q41" s="37"/>
      <c r="R41" s="38"/>
      <c r="S41" s="37"/>
      <c r="T41" s="39"/>
      <c r="U41" s="39"/>
      <c r="V41" s="40"/>
      <c r="W41" s="36" t="s">
        <v>109</v>
      </c>
      <c r="X41" s="37" t="s">
        <v>110</v>
      </c>
      <c r="Y41" s="105" t="s">
        <v>196</v>
      </c>
      <c r="Z41" s="37" t="s">
        <v>108</v>
      </c>
      <c r="AA41" s="39" t="s">
        <v>97</v>
      </c>
      <c r="AB41" s="39">
        <v>1</v>
      </c>
      <c r="AC41" s="40">
        <v>45134</v>
      </c>
      <c r="AD41" s="36"/>
      <c r="AE41" s="37"/>
      <c r="AF41" s="38"/>
      <c r="AG41" s="37"/>
      <c r="AH41" s="39"/>
      <c r="AI41" s="39"/>
      <c r="AJ41" s="40"/>
      <c r="AK41" s="8"/>
      <c r="AL41" s="8"/>
    </row>
    <row r="42" spans="1:38">
      <c r="A42" s="8"/>
      <c r="B42" s="36"/>
      <c r="C42" s="37"/>
      <c r="D42" s="38"/>
      <c r="E42" s="37"/>
      <c r="F42" s="39"/>
      <c r="G42" s="39"/>
      <c r="H42" s="40"/>
      <c r="I42" s="36"/>
      <c r="J42" s="37"/>
      <c r="K42" s="38"/>
      <c r="L42" s="37"/>
      <c r="M42" s="39"/>
      <c r="N42" s="39"/>
      <c r="O42" s="40"/>
      <c r="P42" s="36"/>
      <c r="Q42" s="37"/>
      <c r="R42" s="38"/>
      <c r="S42" s="37"/>
      <c r="T42" s="39"/>
      <c r="U42" s="39"/>
      <c r="V42" s="40"/>
      <c r="W42" s="36" t="s">
        <v>109</v>
      </c>
      <c r="X42" s="37" t="s">
        <v>110</v>
      </c>
      <c r="Y42" s="105" t="s">
        <v>197</v>
      </c>
      <c r="Z42" s="37" t="s">
        <v>108</v>
      </c>
      <c r="AA42" s="39" t="s">
        <v>93</v>
      </c>
      <c r="AB42" s="39">
        <v>1</v>
      </c>
      <c r="AC42" s="40">
        <v>45154</v>
      </c>
      <c r="AD42" s="36"/>
      <c r="AE42" s="37"/>
      <c r="AF42" s="38"/>
      <c r="AG42" s="37"/>
      <c r="AH42" s="39"/>
      <c r="AI42" s="39"/>
      <c r="AJ42" s="40"/>
      <c r="AK42" s="8"/>
      <c r="AL42" s="8"/>
    </row>
    <row r="43" spans="1:38" ht="18.75" thickBot="1">
      <c r="A43" s="8"/>
      <c r="B43" s="41"/>
      <c r="C43" s="42"/>
      <c r="D43" s="43"/>
      <c r="E43" s="42"/>
      <c r="F43" s="44"/>
      <c r="G43" s="44"/>
      <c r="H43" s="45"/>
      <c r="I43" s="41"/>
      <c r="J43" s="42"/>
      <c r="K43" s="43"/>
      <c r="L43" s="42"/>
      <c r="M43" s="44"/>
      <c r="N43" s="44"/>
      <c r="O43" s="45"/>
      <c r="P43" s="41"/>
      <c r="Q43" s="42"/>
      <c r="R43" s="43"/>
      <c r="S43" s="42"/>
      <c r="T43" s="44"/>
      <c r="U43" s="44"/>
      <c r="V43" s="45"/>
      <c r="W43" s="41"/>
      <c r="X43" s="42"/>
      <c r="Y43" s="43"/>
      <c r="Z43" s="42"/>
      <c r="AA43" s="44"/>
      <c r="AB43" s="44"/>
      <c r="AC43" s="45"/>
      <c r="AD43" s="41"/>
      <c r="AE43" s="42"/>
      <c r="AF43" s="43"/>
      <c r="AG43" s="42"/>
      <c r="AH43" s="44"/>
      <c r="AI43" s="44"/>
      <c r="AJ43" s="45"/>
      <c r="AK43" s="8"/>
      <c r="AL43" s="8"/>
    </row>
    <row r="44" spans="1:38">
      <c r="A44" s="8"/>
      <c r="B44" s="146" t="s">
        <v>88</v>
      </c>
      <c r="C44" s="147"/>
      <c r="D44" s="147"/>
      <c r="E44" s="147"/>
      <c r="F44" s="147"/>
      <c r="G44" s="147"/>
      <c r="H44" s="30">
        <v>45124</v>
      </c>
      <c r="I44" s="146" t="s">
        <v>88</v>
      </c>
      <c r="J44" s="147"/>
      <c r="K44" s="147"/>
      <c r="L44" s="147"/>
      <c r="M44" s="147"/>
      <c r="N44" s="147"/>
      <c r="O44" s="30">
        <v>45125</v>
      </c>
      <c r="P44" s="146" t="s">
        <v>88</v>
      </c>
      <c r="Q44" s="147"/>
      <c r="R44" s="147"/>
      <c r="S44" s="147"/>
      <c r="T44" s="147"/>
      <c r="U44" s="147"/>
      <c r="V44" s="30">
        <v>45126</v>
      </c>
      <c r="W44" s="146" t="s">
        <v>88</v>
      </c>
      <c r="X44" s="147"/>
      <c r="Y44" s="147"/>
      <c r="Z44" s="147"/>
      <c r="AA44" s="147"/>
      <c r="AB44" s="147"/>
      <c r="AC44" s="30">
        <v>45127</v>
      </c>
      <c r="AD44" s="146" t="s">
        <v>88</v>
      </c>
      <c r="AE44" s="147"/>
      <c r="AF44" s="147"/>
      <c r="AG44" s="147"/>
      <c r="AH44" s="147"/>
      <c r="AI44" s="147"/>
      <c r="AJ44" s="30">
        <v>45128</v>
      </c>
      <c r="AK44" s="8"/>
      <c r="AL44" s="8"/>
    </row>
    <row r="45" spans="1:38" ht="33">
      <c r="A45" s="8"/>
      <c r="B45" s="36" t="s">
        <v>90</v>
      </c>
      <c r="C45" s="37" t="s">
        <v>91</v>
      </c>
      <c r="D45" s="105" t="s">
        <v>198</v>
      </c>
      <c r="E45" s="37" t="s">
        <v>89</v>
      </c>
      <c r="F45" s="39" t="s">
        <v>97</v>
      </c>
      <c r="G45" s="39">
        <v>2</v>
      </c>
      <c r="H45" s="40">
        <v>45127</v>
      </c>
      <c r="I45" s="36" t="s">
        <v>90</v>
      </c>
      <c r="J45" s="37" t="s">
        <v>91</v>
      </c>
      <c r="K45" s="105" t="s">
        <v>199</v>
      </c>
      <c r="L45" s="37" t="s">
        <v>89</v>
      </c>
      <c r="M45" s="39" t="s">
        <v>97</v>
      </c>
      <c r="N45" s="39">
        <v>4</v>
      </c>
      <c r="O45" s="40">
        <v>45127</v>
      </c>
      <c r="P45" s="36" t="s">
        <v>94</v>
      </c>
      <c r="Q45" s="37" t="s">
        <v>98</v>
      </c>
      <c r="R45" s="105" t="s">
        <v>200</v>
      </c>
      <c r="S45" s="37" t="s">
        <v>89</v>
      </c>
      <c r="T45" s="39" t="s">
        <v>97</v>
      </c>
      <c r="U45" s="39">
        <v>4</v>
      </c>
      <c r="V45" s="40">
        <v>45127</v>
      </c>
      <c r="W45" s="36" t="s">
        <v>100</v>
      </c>
      <c r="X45" s="37"/>
      <c r="Y45" s="105" t="s">
        <v>192</v>
      </c>
      <c r="Z45" s="37" t="s">
        <v>89</v>
      </c>
      <c r="AA45" s="39" t="s">
        <v>97</v>
      </c>
      <c r="AB45" s="39">
        <v>4</v>
      </c>
      <c r="AC45" s="40"/>
      <c r="AD45" s="36" t="s">
        <v>109</v>
      </c>
      <c r="AE45" s="37" t="s">
        <v>110</v>
      </c>
      <c r="AF45" s="105" t="s">
        <v>201</v>
      </c>
      <c r="AG45" s="37" t="s">
        <v>89</v>
      </c>
      <c r="AH45" s="39" t="s">
        <v>97</v>
      </c>
      <c r="AI45" s="39">
        <v>4</v>
      </c>
      <c r="AJ45" s="40">
        <v>45133</v>
      </c>
      <c r="AK45" s="8"/>
      <c r="AL45" s="8"/>
    </row>
    <row r="46" spans="1:38">
      <c r="A46" s="8"/>
      <c r="B46" s="36" t="s">
        <v>90</v>
      </c>
      <c r="C46" s="37" t="s">
        <v>91</v>
      </c>
      <c r="D46" s="105" t="s">
        <v>202</v>
      </c>
      <c r="E46" s="37" t="s">
        <v>89</v>
      </c>
      <c r="F46" s="39" t="s">
        <v>97</v>
      </c>
      <c r="G46" s="39">
        <v>2</v>
      </c>
      <c r="H46" s="40">
        <v>45127</v>
      </c>
      <c r="I46" s="36" t="s">
        <v>119</v>
      </c>
      <c r="J46" s="37" t="s">
        <v>95</v>
      </c>
      <c r="K46" s="105" t="s">
        <v>136</v>
      </c>
      <c r="L46" s="37" t="s">
        <v>89</v>
      </c>
      <c r="M46" s="39" t="s">
        <v>93</v>
      </c>
      <c r="N46" s="39">
        <v>2</v>
      </c>
      <c r="O46" s="40">
        <v>45127</v>
      </c>
      <c r="P46" s="36" t="s">
        <v>100</v>
      </c>
      <c r="Q46" s="37"/>
      <c r="R46" s="105" t="s">
        <v>203</v>
      </c>
      <c r="S46" s="37" t="s">
        <v>89</v>
      </c>
      <c r="T46" s="39" t="s">
        <v>93</v>
      </c>
      <c r="U46" s="39">
        <v>4</v>
      </c>
      <c r="V46" s="40"/>
      <c r="W46" s="36" t="s">
        <v>106</v>
      </c>
      <c r="X46" s="37" t="s">
        <v>98</v>
      </c>
      <c r="Y46" s="105" t="s">
        <v>204</v>
      </c>
      <c r="Z46" s="37" t="s">
        <v>89</v>
      </c>
      <c r="AA46" s="39" t="s">
        <v>93</v>
      </c>
      <c r="AB46" s="39">
        <v>4</v>
      </c>
      <c r="AC46" s="40" t="s">
        <v>205</v>
      </c>
      <c r="AD46" s="36" t="s">
        <v>100</v>
      </c>
      <c r="AE46" s="37"/>
      <c r="AF46" s="105" t="s">
        <v>192</v>
      </c>
      <c r="AG46" s="37" t="s">
        <v>89</v>
      </c>
      <c r="AH46" s="39" t="s">
        <v>93</v>
      </c>
      <c r="AI46" s="39">
        <v>4</v>
      </c>
      <c r="AJ46" s="40"/>
      <c r="AK46" s="8"/>
      <c r="AL46" s="8"/>
    </row>
    <row r="47" spans="1:38">
      <c r="A47" s="8"/>
      <c r="B47" s="36" t="s">
        <v>106</v>
      </c>
      <c r="C47" s="37" t="s">
        <v>102</v>
      </c>
      <c r="D47" s="105" t="s">
        <v>206</v>
      </c>
      <c r="E47" s="37" t="s">
        <v>89</v>
      </c>
      <c r="F47" s="39" t="s">
        <v>93</v>
      </c>
      <c r="G47" s="39">
        <v>4</v>
      </c>
      <c r="H47" s="40">
        <v>45125</v>
      </c>
      <c r="I47" s="36" t="s">
        <v>119</v>
      </c>
      <c r="J47" s="37" t="s">
        <v>95</v>
      </c>
      <c r="K47" s="105" t="s">
        <v>155</v>
      </c>
      <c r="L47" s="37" t="s">
        <v>89</v>
      </c>
      <c r="M47" s="39" t="s">
        <v>93</v>
      </c>
      <c r="N47" s="39">
        <v>2</v>
      </c>
      <c r="O47" s="40">
        <v>45127</v>
      </c>
      <c r="P47" s="36"/>
      <c r="Q47" s="37"/>
      <c r="R47" s="38"/>
      <c r="S47" s="37"/>
      <c r="T47" s="39"/>
      <c r="U47" s="39"/>
      <c r="V47" s="40"/>
      <c r="W47" s="36"/>
      <c r="X47" s="37"/>
      <c r="Y47" s="38"/>
      <c r="Z47" s="37"/>
      <c r="AA47" s="39"/>
      <c r="AB47" s="39"/>
      <c r="AC47" s="40"/>
      <c r="AD47" s="36"/>
      <c r="AE47" s="37"/>
      <c r="AF47" s="38"/>
      <c r="AG47" s="37"/>
      <c r="AH47" s="39"/>
      <c r="AI47" s="39"/>
      <c r="AJ47" s="40"/>
      <c r="AK47" s="8"/>
      <c r="AL47" s="8"/>
    </row>
    <row r="48" spans="1:38">
      <c r="A48" s="8"/>
      <c r="B48" s="36"/>
      <c r="C48" s="37"/>
      <c r="D48" s="38"/>
      <c r="E48" s="37"/>
      <c r="F48" s="39"/>
      <c r="G48" s="39"/>
      <c r="H48" s="40"/>
      <c r="I48" s="36"/>
      <c r="J48" s="37"/>
      <c r="K48" s="38"/>
      <c r="L48" s="37"/>
      <c r="M48" s="39"/>
      <c r="N48" s="39"/>
      <c r="O48" s="40"/>
      <c r="P48" s="36"/>
      <c r="Q48" s="37"/>
      <c r="R48" s="38"/>
      <c r="S48" s="37"/>
      <c r="T48" s="39"/>
      <c r="U48" s="39"/>
      <c r="V48" s="40"/>
      <c r="W48" s="36"/>
      <c r="X48" s="37"/>
      <c r="Y48" s="38"/>
      <c r="Z48" s="37"/>
      <c r="AA48" s="39"/>
      <c r="AB48" s="39"/>
      <c r="AC48" s="40"/>
      <c r="AD48" s="36"/>
      <c r="AE48" s="37"/>
      <c r="AF48" s="38"/>
      <c r="AG48" s="37"/>
      <c r="AH48" s="39"/>
      <c r="AI48" s="39"/>
      <c r="AJ48" s="40"/>
      <c r="AK48" s="8"/>
      <c r="AL48" s="8"/>
    </row>
    <row r="49" spans="1:38">
      <c r="A49" s="8"/>
      <c r="B49" s="36"/>
      <c r="C49" s="37"/>
      <c r="D49" s="38"/>
      <c r="E49" s="37"/>
      <c r="F49" s="39"/>
      <c r="G49" s="39"/>
      <c r="H49" s="40"/>
      <c r="I49" s="36"/>
      <c r="J49" s="37"/>
      <c r="K49" s="38"/>
      <c r="L49" s="37"/>
      <c r="M49" s="39"/>
      <c r="N49" s="39"/>
      <c r="O49" s="40"/>
      <c r="P49" s="36"/>
      <c r="Q49" s="37"/>
      <c r="R49" s="38"/>
      <c r="S49" s="37"/>
      <c r="T49" s="39"/>
      <c r="U49" s="39"/>
      <c r="V49" s="40"/>
      <c r="W49" s="36"/>
      <c r="X49" s="37"/>
      <c r="Y49" s="38"/>
      <c r="Z49" s="37"/>
      <c r="AA49" s="39"/>
      <c r="AB49" s="39"/>
      <c r="AC49" s="40"/>
      <c r="AD49" s="36"/>
      <c r="AE49" s="37"/>
      <c r="AF49" s="38"/>
      <c r="AG49" s="37"/>
      <c r="AH49" s="39"/>
      <c r="AI49" s="39"/>
      <c r="AJ49" s="40"/>
      <c r="AK49" s="8"/>
      <c r="AL49" s="8"/>
    </row>
    <row r="50" spans="1:38">
      <c r="A50" s="8"/>
      <c r="B50" s="36" t="s">
        <v>94</v>
      </c>
      <c r="C50" s="37" t="s">
        <v>98</v>
      </c>
      <c r="D50" s="105" t="s">
        <v>187</v>
      </c>
      <c r="E50" s="37" t="s">
        <v>108</v>
      </c>
      <c r="F50" s="39" t="s">
        <v>97</v>
      </c>
      <c r="G50" s="39">
        <v>1</v>
      </c>
      <c r="H50" s="40">
        <v>45127</v>
      </c>
      <c r="I50" s="36" t="s">
        <v>143</v>
      </c>
      <c r="J50" s="37" t="s">
        <v>98</v>
      </c>
      <c r="K50" s="105" t="s">
        <v>144</v>
      </c>
      <c r="L50" s="37" t="s">
        <v>108</v>
      </c>
      <c r="M50" s="39" t="s">
        <v>97</v>
      </c>
      <c r="N50" s="39">
        <v>3</v>
      </c>
      <c r="O50" s="40">
        <v>45158</v>
      </c>
      <c r="P50" s="36" t="s">
        <v>119</v>
      </c>
      <c r="Q50" s="37" t="s">
        <v>95</v>
      </c>
      <c r="R50" s="105" t="s">
        <v>136</v>
      </c>
      <c r="S50" s="37" t="s">
        <v>108</v>
      </c>
      <c r="T50" s="39" t="s">
        <v>93</v>
      </c>
      <c r="U50" s="39">
        <v>1.5</v>
      </c>
      <c r="V50" s="40">
        <v>45127</v>
      </c>
      <c r="W50" s="36" t="s">
        <v>90</v>
      </c>
      <c r="X50" s="37" t="s">
        <v>91</v>
      </c>
      <c r="Y50" s="105" t="s">
        <v>112</v>
      </c>
      <c r="Z50" s="37" t="s">
        <v>108</v>
      </c>
      <c r="AA50" s="39" t="s">
        <v>93</v>
      </c>
      <c r="AB50" s="39">
        <v>0.5</v>
      </c>
      <c r="AC50" s="40"/>
      <c r="AD50" s="36"/>
      <c r="AE50" s="37"/>
      <c r="AF50" s="38"/>
      <c r="AG50" s="37" t="s">
        <v>108</v>
      </c>
      <c r="AH50" s="39"/>
      <c r="AI50" s="39"/>
      <c r="AJ50" s="40"/>
      <c r="AK50" s="8"/>
      <c r="AL50" s="8"/>
    </row>
    <row r="51" spans="1:38" ht="33">
      <c r="A51" s="8"/>
      <c r="B51" s="36" t="s">
        <v>94</v>
      </c>
      <c r="C51" s="37" t="s">
        <v>95</v>
      </c>
      <c r="D51" s="105" t="s">
        <v>190</v>
      </c>
      <c r="E51" s="37" t="s">
        <v>108</v>
      </c>
      <c r="F51" s="39" t="s">
        <v>97</v>
      </c>
      <c r="G51" s="39">
        <v>1</v>
      </c>
      <c r="H51" s="40">
        <v>45127</v>
      </c>
      <c r="I51" s="36" t="s">
        <v>106</v>
      </c>
      <c r="J51" s="37" t="s">
        <v>95</v>
      </c>
      <c r="K51" s="105" t="s">
        <v>207</v>
      </c>
      <c r="L51" s="37" t="s">
        <v>108</v>
      </c>
      <c r="M51" s="39" t="s">
        <v>97</v>
      </c>
      <c r="N51" s="39">
        <v>1</v>
      </c>
      <c r="O51" s="40">
        <v>45125</v>
      </c>
      <c r="P51" s="36" t="s">
        <v>119</v>
      </c>
      <c r="Q51" s="37" t="s">
        <v>95</v>
      </c>
      <c r="R51" s="105" t="s">
        <v>155</v>
      </c>
      <c r="S51" s="37" t="s">
        <v>108</v>
      </c>
      <c r="T51" s="39" t="s">
        <v>93</v>
      </c>
      <c r="U51" s="39">
        <v>1.5</v>
      </c>
      <c r="V51" s="40">
        <v>45127</v>
      </c>
      <c r="W51" s="36" t="s">
        <v>94</v>
      </c>
      <c r="X51" s="37" t="s">
        <v>98</v>
      </c>
      <c r="Y51" s="105" t="s">
        <v>208</v>
      </c>
      <c r="Z51" s="37" t="s">
        <v>108</v>
      </c>
      <c r="AA51" s="39" t="s">
        <v>97</v>
      </c>
      <c r="AB51" s="39">
        <v>2</v>
      </c>
      <c r="AC51" s="40">
        <v>45127</v>
      </c>
      <c r="AD51" s="36"/>
      <c r="AE51" s="37"/>
      <c r="AF51" s="38"/>
      <c r="AG51" s="37"/>
      <c r="AH51" s="39"/>
      <c r="AI51" s="39"/>
      <c r="AJ51" s="40"/>
      <c r="AK51" s="8"/>
      <c r="AL51" s="8"/>
    </row>
    <row r="52" spans="1:38" ht="33">
      <c r="A52" s="8"/>
      <c r="B52" s="36" t="s">
        <v>94</v>
      </c>
      <c r="C52" s="37" t="s">
        <v>102</v>
      </c>
      <c r="D52" s="105" t="s">
        <v>191</v>
      </c>
      <c r="E52" s="37" t="s">
        <v>108</v>
      </c>
      <c r="F52" s="39" t="s">
        <v>97</v>
      </c>
      <c r="G52" s="39">
        <v>1</v>
      </c>
      <c r="H52" s="40">
        <v>45127</v>
      </c>
      <c r="I52" s="36" t="s">
        <v>106</v>
      </c>
      <c r="J52" s="37" t="s">
        <v>102</v>
      </c>
      <c r="K52" s="105" t="s">
        <v>209</v>
      </c>
      <c r="L52" s="37" t="s">
        <v>108</v>
      </c>
      <c r="M52" s="39" t="s">
        <v>93</v>
      </c>
      <c r="N52" s="39">
        <v>2</v>
      </c>
      <c r="O52" s="40">
        <v>45125</v>
      </c>
      <c r="P52" s="36" t="s">
        <v>106</v>
      </c>
      <c r="Q52" s="37" t="s">
        <v>102</v>
      </c>
      <c r="R52" s="105" t="s">
        <v>210</v>
      </c>
      <c r="S52" s="37" t="s">
        <v>108</v>
      </c>
      <c r="T52" s="39" t="s">
        <v>97</v>
      </c>
      <c r="U52" s="39">
        <v>1</v>
      </c>
      <c r="V52" s="40">
        <v>45125</v>
      </c>
      <c r="W52" s="36" t="s">
        <v>90</v>
      </c>
      <c r="X52" s="37" t="s">
        <v>91</v>
      </c>
      <c r="Y52" s="105" t="s">
        <v>211</v>
      </c>
      <c r="Z52" s="37" t="s">
        <v>108</v>
      </c>
      <c r="AA52" s="39" t="s">
        <v>93</v>
      </c>
      <c r="AB52" s="39">
        <v>1</v>
      </c>
      <c r="AC52" s="40"/>
      <c r="AD52" s="36"/>
      <c r="AE52" s="37"/>
      <c r="AF52" s="38"/>
      <c r="AG52" s="37"/>
      <c r="AH52" s="39"/>
      <c r="AI52" s="39"/>
      <c r="AJ52" s="40"/>
      <c r="AK52" s="8"/>
      <c r="AL52" s="8"/>
    </row>
    <row r="53" spans="1:38" ht="33">
      <c r="A53" s="8"/>
      <c r="B53" s="36" t="s">
        <v>106</v>
      </c>
      <c r="C53" s="37" t="s">
        <v>95</v>
      </c>
      <c r="D53" s="105" t="s">
        <v>193</v>
      </c>
      <c r="E53" s="37" t="s">
        <v>108</v>
      </c>
      <c r="F53" s="39" t="s">
        <v>97</v>
      </c>
      <c r="G53" s="39">
        <v>1.5</v>
      </c>
      <c r="H53" s="40">
        <v>45121</v>
      </c>
      <c r="I53" s="36"/>
      <c r="J53" s="37"/>
      <c r="K53" s="38"/>
      <c r="L53" s="37"/>
      <c r="M53" s="39"/>
      <c r="N53" s="39"/>
      <c r="O53" s="40"/>
      <c r="P53" s="36"/>
      <c r="Q53" s="37"/>
      <c r="R53" s="38"/>
      <c r="S53" s="37"/>
      <c r="T53" s="39"/>
      <c r="U53" s="39"/>
      <c r="V53" s="40"/>
      <c r="W53" s="36"/>
      <c r="X53" s="37"/>
      <c r="Y53" s="38"/>
      <c r="Z53" s="37"/>
      <c r="AA53" s="39"/>
      <c r="AB53" s="39"/>
      <c r="AC53" s="40"/>
      <c r="AD53" s="36"/>
      <c r="AE53" s="37"/>
      <c r="AF53" s="38"/>
      <c r="AG53" s="37"/>
      <c r="AH53" s="39"/>
      <c r="AI53" s="39"/>
      <c r="AJ53" s="40"/>
      <c r="AK53" s="8"/>
      <c r="AL53" s="8"/>
    </row>
    <row r="54" spans="1:38">
      <c r="A54" s="8"/>
      <c r="B54" s="36"/>
      <c r="C54" s="37"/>
      <c r="D54" s="38"/>
      <c r="E54" s="37"/>
      <c r="F54" s="39"/>
      <c r="G54" s="39"/>
      <c r="H54" s="40"/>
      <c r="I54" s="36"/>
      <c r="J54" s="37"/>
      <c r="K54" s="38"/>
      <c r="L54" s="37"/>
      <c r="M54" s="39"/>
      <c r="N54" s="39"/>
      <c r="O54" s="40"/>
      <c r="P54" s="36"/>
      <c r="Q54" s="37"/>
      <c r="R54" s="38"/>
      <c r="S54" s="37"/>
      <c r="T54" s="39"/>
      <c r="U54" s="39"/>
      <c r="V54" s="40"/>
      <c r="W54" s="36"/>
      <c r="X54" s="37"/>
      <c r="Y54" s="38"/>
      <c r="Z54" s="37"/>
      <c r="AA54" s="39"/>
      <c r="AB54" s="39"/>
      <c r="AC54" s="40"/>
      <c r="AD54" s="36"/>
      <c r="AE54" s="37"/>
      <c r="AF54" s="38"/>
      <c r="AG54" s="37"/>
      <c r="AH54" s="39"/>
      <c r="AI54" s="39"/>
      <c r="AJ54" s="40"/>
      <c r="AK54" s="8"/>
      <c r="AL54" s="8"/>
    </row>
    <row r="55" spans="1:38" ht="18.75" thickBot="1">
      <c r="A55" s="8"/>
      <c r="B55" s="41"/>
      <c r="C55" s="42"/>
      <c r="D55" s="43"/>
      <c r="E55" s="42"/>
      <c r="F55" s="44"/>
      <c r="G55" s="44"/>
      <c r="H55" s="45"/>
      <c r="I55" s="41"/>
      <c r="J55" s="42"/>
      <c r="K55" s="43"/>
      <c r="L55" s="42"/>
      <c r="M55" s="44"/>
      <c r="N55" s="44"/>
      <c r="O55" s="45"/>
      <c r="P55" s="41"/>
      <c r="Q55" s="42"/>
      <c r="R55" s="43"/>
      <c r="S55" s="42"/>
      <c r="T55" s="44"/>
      <c r="U55" s="44"/>
      <c r="V55" s="45"/>
      <c r="W55" s="41"/>
      <c r="X55" s="42"/>
      <c r="Y55" s="43"/>
      <c r="Z55" s="42"/>
      <c r="AA55" s="44"/>
      <c r="AB55" s="44"/>
      <c r="AC55" s="45"/>
      <c r="AD55" s="41"/>
      <c r="AE55" s="42"/>
      <c r="AF55" s="43"/>
      <c r="AG55" s="42"/>
      <c r="AH55" s="44"/>
      <c r="AI55" s="44"/>
      <c r="AJ55" s="45"/>
      <c r="AK55" s="8"/>
      <c r="AL55" s="8"/>
    </row>
    <row r="56" spans="1:38">
      <c r="A56" s="8"/>
      <c r="B56" s="146" t="s">
        <v>88</v>
      </c>
      <c r="C56" s="147"/>
      <c r="D56" s="147"/>
      <c r="E56" s="147"/>
      <c r="F56" s="147"/>
      <c r="G56" s="147"/>
      <c r="H56" s="30">
        <v>45131</v>
      </c>
      <c r="I56" s="146" t="s">
        <v>88</v>
      </c>
      <c r="J56" s="147"/>
      <c r="K56" s="147"/>
      <c r="L56" s="147"/>
      <c r="M56" s="147"/>
      <c r="N56" s="147"/>
      <c r="O56" s="30">
        <v>45132</v>
      </c>
      <c r="P56" s="146" t="s">
        <v>88</v>
      </c>
      <c r="Q56" s="147"/>
      <c r="R56" s="147"/>
      <c r="S56" s="147"/>
      <c r="T56" s="147"/>
      <c r="U56" s="147"/>
      <c r="V56" s="30">
        <v>45133</v>
      </c>
      <c r="W56" s="146" t="s">
        <v>88</v>
      </c>
      <c r="X56" s="147"/>
      <c r="Y56" s="147"/>
      <c r="Z56" s="147"/>
      <c r="AA56" s="147"/>
      <c r="AB56" s="147"/>
      <c r="AC56" s="30">
        <v>45134</v>
      </c>
      <c r="AD56" s="146" t="s">
        <v>88</v>
      </c>
      <c r="AE56" s="147"/>
      <c r="AF56" s="147"/>
      <c r="AG56" s="147"/>
      <c r="AH56" s="147"/>
      <c r="AI56" s="147"/>
      <c r="AJ56" s="30">
        <v>45135</v>
      </c>
      <c r="AK56" s="8"/>
      <c r="AL56" s="8"/>
    </row>
    <row r="57" spans="1:38" ht="33">
      <c r="A57" s="8"/>
      <c r="B57" s="36" t="s">
        <v>116</v>
      </c>
      <c r="C57" s="37" t="s">
        <v>110</v>
      </c>
      <c r="D57" s="105" t="s">
        <v>212</v>
      </c>
      <c r="E57" s="37" t="s">
        <v>89</v>
      </c>
      <c r="F57" s="39" t="s">
        <v>93</v>
      </c>
      <c r="G57" s="39">
        <v>4</v>
      </c>
      <c r="H57" s="40">
        <v>45137</v>
      </c>
      <c r="I57" s="36" t="s">
        <v>116</v>
      </c>
      <c r="J57" s="37" t="s">
        <v>110</v>
      </c>
      <c r="K57" s="105" t="s">
        <v>213</v>
      </c>
      <c r="L57" s="37" t="s">
        <v>89</v>
      </c>
      <c r="M57" s="39" t="s">
        <v>97</v>
      </c>
      <c r="N57" s="39">
        <v>3</v>
      </c>
      <c r="O57" s="40">
        <v>45137</v>
      </c>
      <c r="P57" s="36" t="s">
        <v>94</v>
      </c>
      <c r="Q57" s="37" t="s">
        <v>98</v>
      </c>
      <c r="R57" s="105" t="s">
        <v>214</v>
      </c>
      <c r="S57" s="37" t="s">
        <v>89</v>
      </c>
      <c r="T57" s="39" t="s">
        <v>97</v>
      </c>
      <c r="U57" s="39">
        <v>4</v>
      </c>
      <c r="V57" s="40">
        <v>45153</v>
      </c>
      <c r="W57" s="36" t="s">
        <v>116</v>
      </c>
      <c r="X57" s="37" t="s">
        <v>110</v>
      </c>
      <c r="Y57" s="105" t="s">
        <v>215</v>
      </c>
      <c r="Z57" s="37" t="s">
        <v>89</v>
      </c>
      <c r="AA57" s="39" t="s">
        <v>93</v>
      </c>
      <c r="AB57" s="39">
        <v>3.5</v>
      </c>
      <c r="AC57" s="40">
        <v>45136</v>
      </c>
      <c r="AD57" s="36" t="s">
        <v>119</v>
      </c>
      <c r="AE57" s="37" t="s">
        <v>95</v>
      </c>
      <c r="AF57" s="38" t="s">
        <v>216</v>
      </c>
      <c r="AG57" s="37" t="s">
        <v>147</v>
      </c>
      <c r="AH57" s="39" t="s">
        <v>97</v>
      </c>
      <c r="AI57" s="39">
        <v>6</v>
      </c>
      <c r="AJ57" s="40">
        <v>45138</v>
      </c>
      <c r="AK57" s="8"/>
      <c r="AL57" s="8"/>
    </row>
    <row r="58" spans="1:38">
      <c r="A58" s="8"/>
      <c r="B58" s="36" t="s">
        <v>90</v>
      </c>
      <c r="C58" s="37" t="s">
        <v>91</v>
      </c>
      <c r="D58" s="105" t="s">
        <v>217</v>
      </c>
      <c r="E58" s="37" t="s">
        <v>89</v>
      </c>
      <c r="F58" s="39" t="s">
        <v>97</v>
      </c>
      <c r="G58" s="39">
        <v>2</v>
      </c>
      <c r="H58" s="40">
        <v>45134</v>
      </c>
      <c r="I58" s="36" t="s">
        <v>90</v>
      </c>
      <c r="J58" s="37" t="s">
        <v>91</v>
      </c>
      <c r="K58" s="105" t="s">
        <v>218</v>
      </c>
      <c r="L58" s="37" t="s">
        <v>89</v>
      </c>
      <c r="M58" s="39" t="s">
        <v>97</v>
      </c>
      <c r="N58" s="39">
        <v>2</v>
      </c>
      <c r="O58" s="40">
        <v>45134</v>
      </c>
      <c r="P58" s="36" t="s">
        <v>109</v>
      </c>
      <c r="Q58" s="37" t="s">
        <v>110</v>
      </c>
      <c r="R58" s="105" t="s">
        <v>219</v>
      </c>
      <c r="S58" s="37" t="s">
        <v>89</v>
      </c>
      <c r="T58" s="39" t="s">
        <v>97</v>
      </c>
      <c r="U58" s="39">
        <v>4</v>
      </c>
      <c r="V58" s="40">
        <v>45134</v>
      </c>
      <c r="W58" s="36" t="s">
        <v>100</v>
      </c>
      <c r="X58" s="37" t="s">
        <v>102</v>
      </c>
      <c r="Y58" s="105" t="s">
        <v>220</v>
      </c>
      <c r="Z58" s="37" t="s">
        <v>89</v>
      </c>
      <c r="AA58" s="39" t="s">
        <v>97</v>
      </c>
      <c r="AB58" s="39">
        <v>3</v>
      </c>
      <c r="AC58" s="40">
        <v>45140</v>
      </c>
      <c r="AD58" s="36" t="s">
        <v>116</v>
      </c>
      <c r="AE58" s="37" t="s">
        <v>110</v>
      </c>
      <c r="AF58" s="105" t="s">
        <v>221</v>
      </c>
      <c r="AG58" s="37" t="s">
        <v>89</v>
      </c>
      <c r="AH58" s="39" t="s">
        <v>97</v>
      </c>
      <c r="AI58" s="39">
        <v>4</v>
      </c>
      <c r="AJ58" s="40">
        <v>45150</v>
      </c>
      <c r="AK58" s="8"/>
      <c r="AL58" s="8"/>
    </row>
    <row r="59" spans="1:38">
      <c r="A59" s="8"/>
      <c r="B59" s="36"/>
      <c r="C59" s="37"/>
      <c r="D59" s="38"/>
      <c r="E59" s="37"/>
      <c r="F59" s="39"/>
      <c r="G59" s="39"/>
      <c r="H59" s="40"/>
      <c r="I59" s="36" t="s">
        <v>109</v>
      </c>
      <c r="J59" s="37" t="s">
        <v>110</v>
      </c>
      <c r="K59" s="105" t="s">
        <v>217</v>
      </c>
      <c r="L59" s="37" t="s">
        <v>89</v>
      </c>
      <c r="M59" s="39" t="s">
        <v>93</v>
      </c>
      <c r="N59" s="39">
        <v>3</v>
      </c>
      <c r="O59" s="40">
        <v>45134</v>
      </c>
      <c r="P59" s="36"/>
      <c r="Q59" s="37"/>
      <c r="R59" s="38"/>
      <c r="S59" s="37"/>
      <c r="T59" s="39"/>
      <c r="U59" s="39"/>
      <c r="V59" s="40"/>
      <c r="W59" s="36" t="s">
        <v>106</v>
      </c>
      <c r="X59" s="37" t="s">
        <v>102</v>
      </c>
      <c r="Y59" s="105" t="s">
        <v>222</v>
      </c>
      <c r="Z59" s="37" t="s">
        <v>89</v>
      </c>
      <c r="AA59" s="39" t="s">
        <v>97</v>
      </c>
      <c r="AB59" s="39">
        <v>4</v>
      </c>
      <c r="AC59" s="40">
        <v>45135</v>
      </c>
      <c r="AD59" s="36"/>
      <c r="AE59" s="37"/>
      <c r="AF59" s="38"/>
      <c r="AG59" s="37"/>
      <c r="AH59" s="39"/>
      <c r="AI59" s="39"/>
      <c r="AJ59" s="40"/>
      <c r="AK59" s="8"/>
      <c r="AL59" s="8"/>
    </row>
    <row r="60" spans="1:38">
      <c r="A60" s="8"/>
      <c r="B60" s="36"/>
      <c r="C60" s="37"/>
      <c r="D60" s="38"/>
      <c r="E60" s="37"/>
      <c r="F60" s="39"/>
      <c r="G60" s="39"/>
      <c r="H60" s="40"/>
      <c r="I60" s="36"/>
      <c r="J60" s="37"/>
      <c r="K60" s="38"/>
      <c r="L60" s="37"/>
      <c r="M60" s="39"/>
      <c r="N60" s="39"/>
      <c r="O60" s="40"/>
      <c r="P60" s="36"/>
      <c r="Q60" s="37"/>
      <c r="R60" s="38"/>
      <c r="S60" s="37"/>
      <c r="T60" s="39"/>
      <c r="U60" s="39"/>
      <c r="V60" s="40"/>
      <c r="W60" s="36"/>
      <c r="X60" s="37"/>
      <c r="Y60" s="38"/>
      <c r="Z60" s="37"/>
      <c r="AA60" s="39"/>
      <c r="AB60" s="39"/>
      <c r="AC60" s="40"/>
      <c r="AD60" s="36"/>
      <c r="AE60" s="37"/>
      <c r="AF60" s="38"/>
      <c r="AG60" s="37"/>
      <c r="AH60" s="39"/>
      <c r="AI60" s="39"/>
      <c r="AJ60" s="40"/>
      <c r="AK60" s="8"/>
      <c r="AL60" s="8"/>
    </row>
    <row r="61" spans="1:38">
      <c r="A61" s="8"/>
      <c r="B61" s="36"/>
      <c r="C61" s="37"/>
      <c r="D61" s="38"/>
      <c r="E61" s="37"/>
      <c r="F61" s="39"/>
      <c r="G61" s="39"/>
      <c r="H61" s="40"/>
      <c r="I61" s="36"/>
      <c r="J61" s="37"/>
      <c r="K61" s="38"/>
      <c r="L61" s="37"/>
      <c r="M61" s="39"/>
      <c r="N61" s="39"/>
      <c r="O61" s="40"/>
      <c r="P61" s="36"/>
      <c r="Q61" s="37"/>
      <c r="R61" s="38"/>
      <c r="S61" s="37"/>
      <c r="T61" s="39"/>
      <c r="U61" s="39"/>
      <c r="V61" s="40"/>
      <c r="W61" s="36"/>
      <c r="X61" s="37"/>
      <c r="Y61" s="38"/>
      <c r="Z61" s="37"/>
      <c r="AA61" s="39"/>
      <c r="AB61" s="39"/>
      <c r="AC61" s="40"/>
      <c r="AD61" s="36"/>
      <c r="AE61" s="37"/>
      <c r="AF61" s="38"/>
      <c r="AG61" s="37"/>
      <c r="AH61" s="39"/>
      <c r="AI61" s="39"/>
      <c r="AJ61" s="40"/>
      <c r="AK61" s="8"/>
      <c r="AL61" s="8"/>
    </row>
    <row r="62" spans="1:38" ht="33">
      <c r="A62" s="8"/>
      <c r="B62" s="36" t="s">
        <v>109</v>
      </c>
      <c r="C62" s="37" t="s">
        <v>110</v>
      </c>
      <c r="D62" s="105" t="s">
        <v>201</v>
      </c>
      <c r="E62" s="37" t="s">
        <v>108</v>
      </c>
      <c r="F62" s="39" t="s">
        <v>97</v>
      </c>
      <c r="G62" s="39">
        <v>2</v>
      </c>
      <c r="H62" s="40">
        <v>45133</v>
      </c>
      <c r="I62" s="36" t="s">
        <v>116</v>
      </c>
      <c r="J62" s="37" t="s">
        <v>110</v>
      </c>
      <c r="K62" s="105" t="s">
        <v>212</v>
      </c>
      <c r="L62" s="37" t="s">
        <v>108</v>
      </c>
      <c r="M62" s="39" t="s">
        <v>93</v>
      </c>
      <c r="N62" s="39">
        <v>2.5</v>
      </c>
      <c r="O62" s="40">
        <v>45137</v>
      </c>
      <c r="P62" s="36" t="s">
        <v>116</v>
      </c>
      <c r="Q62" s="37" t="s">
        <v>110</v>
      </c>
      <c r="R62" s="105" t="s">
        <v>213</v>
      </c>
      <c r="S62" s="37" t="s">
        <v>108</v>
      </c>
      <c r="T62" s="39" t="s">
        <v>97</v>
      </c>
      <c r="U62" s="39">
        <v>1.5</v>
      </c>
      <c r="V62" s="40">
        <v>45137</v>
      </c>
      <c r="W62" s="36" t="s">
        <v>90</v>
      </c>
      <c r="X62" s="37" t="s">
        <v>91</v>
      </c>
      <c r="Y62" s="105" t="s">
        <v>112</v>
      </c>
      <c r="Z62" s="37" t="s">
        <v>108</v>
      </c>
      <c r="AA62" s="39" t="s">
        <v>93</v>
      </c>
      <c r="AB62" s="39">
        <v>0.5</v>
      </c>
      <c r="AC62" s="40"/>
      <c r="AD62" s="36" t="s">
        <v>143</v>
      </c>
      <c r="AE62" s="37" t="s">
        <v>98</v>
      </c>
      <c r="AF62" s="105" t="s">
        <v>223</v>
      </c>
      <c r="AG62" s="37" t="s">
        <v>108</v>
      </c>
      <c r="AH62" s="39" t="s">
        <v>93</v>
      </c>
      <c r="AI62" s="39">
        <v>2</v>
      </c>
      <c r="AJ62" s="40">
        <v>45139</v>
      </c>
      <c r="AK62" s="8"/>
      <c r="AL62" s="8"/>
    </row>
    <row r="63" spans="1:38" ht="33">
      <c r="A63" s="8"/>
      <c r="B63" s="36" t="s">
        <v>106</v>
      </c>
      <c r="C63" s="37" t="s">
        <v>98</v>
      </c>
      <c r="D63" s="105" t="s">
        <v>204</v>
      </c>
      <c r="E63" s="37" t="s">
        <v>108</v>
      </c>
      <c r="F63" s="39" t="s">
        <v>93</v>
      </c>
      <c r="G63" s="39">
        <v>2.5</v>
      </c>
      <c r="H63" s="40" t="s">
        <v>205</v>
      </c>
      <c r="I63" s="36" t="s">
        <v>109</v>
      </c>
      <c r="J63" s="37" t="s">
        <v>110</v>
      </c>
      <c r="K63" s="105" t="s">
        <v>224</v>
      </c>
      <c r="L63" s="37" t="s">
        <v>108</v>
      </c>
      <c r="M63" s="39" t="s">
        <v>97</v>
      </c>
      <c r="N63" s="39">
        <v>1.5</v>
      </c>
      <c r="O63" s="40">
        <v>45134</v>
      </c>
      <c r="P63" s="36" t="s">
        <v>143</v>
      </c>
      <c r="Q63" s="37" t="s">
        <v>98</v>
      </c>
      <c r="R63" s="105" t="s">
        <v>225</v>
      </c>
      <c r="S63" s="37" t="s">
        <v>108</v>
      </c>
      <c r="T63" s="39" t="s">
        <v>93</v>
      </c>
      <c r="U63" s="39">
        <v>3</v>
      </c>
      <c r="V63" s="40">
        <v>45139</v>
      </c>
      <c r="W63" s="36" t="s">
        <v>94</v>
      </c>
      <c r="X63" s="37" t="s">
        <v>98</v>
      </c>
      <c r="Y63" s="105" t="s">
        <v>226</v>
      </c>
      <c r="Z63" s="37" t="s">
        <v>108</v>
      </c>
      <c r="AA63" s="39" t="s">
        <v>97</v>
      </c>
      <c r="AB63" s="39">
        <v>2</v>
      </c>
      <c r="AC63" s="40">
        <v>45153</v>
      </c>
      <c r="AD63" s="36" t="s">
        <v>100</v>
      </c>
      <c r="AE63" s="37" t="s">
        <v>102</v>
      </c>
      <c r="AF63" s="105" t="s">
        <v>220</v>
      </c>
      <c r="AG63" s="37" t="s">
        <v>108</v>
      </c>
      <c r="AH63" s="39" t="s">
        <v>97</v>
      </c>
      <c r="AI63" s="39">
        <v>2</v>
      </c>
      <c r="AJ63" s="40">
        <v>45140</v>
      </c>
      <c r="AK63" s="8"/>
      <c r="AL63" s="8"/>
    </row>
    <row r="64" spans="1:38" ht="33">
      <c r="A64" s="8"/>
      <c r="B64" s="36"/>
      <c r="C64" s="37"/>
      <c r="D64" s="38"/>
      <c r="E64" s="37"/>
      <c r="F64" s="39"/>
      <c r="G64" s="39"/>
      <c r="H64" s="40"/>
      <c r="I64" s="36" t="s">
        <v>106</v>
      </c>
      <c r="J64" s="37" t="s">
        <v>95</v>
      </c>
      <c r="K64" s="105" t="s">
        <v>227</v>
      </c>
      <c r="L64" s="37" t="s">
        <v>108</v>
      </c>
      <c r="M64" s="39" t="s">
        <v>97</v>
      </c>
      <c r="N64" s="39">
        <v>1</v>
      </c>
      <c r="O64" s="40">
        <v>45121</v>
      </c>
      <c r="P64" s="36" t="s">
        <v>109</v>
      </c>
      <c r="Q64" s="37" t="s">
        <v>110</v>
      </c>
      <c r="R64" s="105" t="s">
        <v>219</v>
      </c>
      <c r="S64" s="37" t="s">
        <v>108</v>
      </c>
      <c r="T64" s="39" t="s">
        <v>93</v>
      </c>
      <c r="U64" s="39">
        <v>1</v>
      </c>
      <c r="V64" s="40">
        <v>45134</v>
      </c>
      <c r="W64" s="36" t="s">
        <v>94</v>
      </c>
      <c r="X64" s="37" t="s">
        <v>98</v>
      </c>
      <c r="Y64" s="105" t="s">
        <v>228</v>
      </c>
      <c r="Z64" s="37" t="s">
        <v>108</v>
      </c>
      <c r="AA64" s="39" t="s">
        <v>97</v>
      </c>
      <c r="AB64" s="39">
        <v>1</v>
      </c>
      <c r="AC64" s="40">
        <v>45153</v>
      </c>
      <c r="AD64" s="36" t="s">
        <v>106</v>
      </c>
      <c r="AE64" s="37" t="s">
        <v>102</v>
      </c>
      <c r="AF64" s="105" t="s">
        <v>229</v>
      </c>
      <c r="AG64" s="37" t="s">
        <v>108</v>
      </c>
      <c r="AH64" s="39" t="s">
        <v>97</v>
      </c>
      <c r="AI64" s="39">
        <v>2</v>
      </c>
      <c r="AJ64" s="40">
        <v>45135</v>
      </c>
      <c r="AK64" s="8"/>
      <c r="AL64" s="8"/>
    </row>
    <row r="65" spans="1:38">
      <c r="A65" s="8"/>
      <c r="B65" s="36"/>
      <c r="C65" s="37"/>
      <c r="D65" s="38"/>
      <c r="E65" s="37"/>
      <c r="F65" s="39"/>
      <c r="G65" s="39"/>
      <c r="H65" s="40"/>
      <c r="I65" s="36"/>
      <c r="J65" s="37"/>
      <c r="K65" s="38"/>
      <c r="L65" s="37"/>
      <c r="M65" s="39"/>
      <c r="N65" s="39"/>
      <c r="O65" s="40"/>
      <c r="P65" s="36" t="s">
        <v>109</v>
      </c>
      <c r="Q65" s="37" t="s">
        <v>110</v>
      </c>
      <c r="R65" s="105" t="s">
        <v>217</v>
      </c>
      <c r="S65" s="37" t="s">
        <v>108</v>
      </c>
      <c r="T65" s="39" t="s">
        <v>97</v>
      </c>
      <c r="U65" s="39">
        <v>2</v>
      </c>
      <c r="V65" s="40">
        <v>45134</v>
      </c>
      <c r="W65" s="36" t="s">
        <v>106</v>
      </c>
      <c r="X65" s="37" t="s">
        <v>98</v>
      </c>
      <c r="Y65" s="105" t="s">
        <v>230</v>
      </c>
      <c r="Z65" s="37" t="s">
        <v>108</v>
      </c>
      <c r="AA65" s="39" t="s">
        <v>93</v>
      </c>
      <c r="AB65" s="39">
        <v>1</v>
      </c>
      <c r="AC65" s="40" t="s">
        <v>205</v>
      </c>
      <c r="AD65" s="36" t="s">
        <v>106</v>
      </c>
      <c r="AE65" s="37" t="s">
        <v>102</v>
      </c>
      <c r="AF65" s="105" t="s">
        <v>231</v>
      </c>
      <c r="AG65" s="37" t="s">
        <v>108</v>
      </c>
      <c r="AH65" s="39" t="s">
        <v>97</v>
      </c>
      <c r="AI65" s="39">
        <v>1</v>
      </c>
      <c r="AJ65" s="40">
        <v>45135</v>
      </c>
      <c r="AK65" s="8"/>
      <c r="AL65" s="8"/>
    </row>
    <row r="66" spans="1:38">
      <c r="A66" s="8"/>
      <c r="B66" s="36"/>
      <c r="C66" s="37"/>
      <c r="D66" s="38"/>
      <c r="E66" s="37"/>
      <c r="F66" s="39"/>
      <c r="G66" s="39"/>
      <c r="H66" s="40"/>
      <c r="I66" s="36"/>
      <c r="J66" s="37"/>
      <c r="K66" s="38"/>
      <c r="L66" s="37"/>
      <c r="M66" s="39"/>
      <c r="N66" s="39"/>
      <c r="O66" s="40"/>
      <c r="P66" s="36"/>
      <c r="Q66" s="37"/>
      <c r="R66" s="38"/>
      <c r="S66" s="37"/>
      <c r="T66" s="39"/>
      <c r="U66" s="39"/>
      <c r="V66" s="40"/>
      <c r="W66" s="36"/>
      <c r="X66" s="37"/>
      <c r="Y66" s="38"/>
      <c r="Z66" s="37"/>
      <c r="AA66" s="39"/>
      <c r="AB66" s="39"/>
      <c r="AC66" s="40"/>
      <c r="AD66" s="36"/>
      <c r="AE66" s="37"/>
      <c r="AF66" s="38"/>
      <c r="AG66" s="37"/>
      <c r="AH66" s="39"/>
      <c r="AI66" s="39"/>
      <c r="AJ66" s="40"/>
      <c r="AK66" s="8"/>
      <c r="AL66" s="8"/>
    </row>
    <row r="67" spans="1:38" ht="18.75" thickBot="1">
      <c r="A67" s="8"/>
      <c r="B67" s="41"/>
      <c r="C67" s="42"/>
      <c r="D67" s="43"/>
      <c r="E67" s="42"/>
      <c r="F67" s="44"/>
      <c r="G67" s="44"/>
      <c r="H67" s="45"/>
      <c r="I67" s="41"/>
      <c r="J67" s="42"/>
      <c r="K67" s="43"/>
      <c r="L67" s="42"/>
      <c r="M67" s="44"/>
      <c r="N67" s="44"/>
      <c r="O67" s="45"/>
      <c r="P67" s="41"/>
      <c r="Q67" s="42"/>
      <c r="R67" s="43"/>
      <c r="S67" s="42"/>
      <c r="T67" s="44"/>
      <c r="U67" s="44"/>
      <c r="V67" s="45"/>
      <c r="W67" s="41"/>
      <c r="X67" s="42"/>
      <c r="Y67" s="43"/>
      <c r="Z67" s="42"/>
      <c r="AA67" s="44"/>
      <c r="AB67" s="44"/>
      <c r="AC67" s="45"/>
      <c r="AD67" s="41"/>
      <c r="AE67" s="42"/>
      <c r="AF67" s="43"/>
      <c r="AG67" s="42"/>
      <c r="AH67" s="44"/>
      <c r="AI67" s="44"/>
      <c r="AJ67" s="45"/>
      <c r="AK67" s="8"/>
      <c r="AL67" s="8"/>
    </row>
    <row r="68" spans="1:38">
      <c r="A68" s="8"/>
      <c r="B68" s="146" t="s">
        <v>88</v>
      </c>
      <c r="C68" s="147"/>
      <c r="D68" s="147"/>
      <c r="E68" s="147"/>
      <c r="F68" s="147"/>
      <c r="G68" s="147"/>
      <c r="H68" s="30">
        <v>45138</v>
      </c>
      <c r="I68" s="146" t="s">
        <v>88</v>
      </c>
      <c r="J68" s="147"/>
      <c r="K68" s="147"/>
      <c r="L68" s="147"/>
      <c r="M68" s="147"/>
      <c r="N68" s="147"/>
      <c r="O68" s="30">
        <v>45139</v>
      </c>
      <c r="P68" s="146" t="s">
        <v>88</v>
      </c>
      <c r="Q68" s="147"/>
      <c r="R68" s="147"/>
      <c r="S68" s="147"/>
      <c r="T68" s="147"/>
      <c r="U68" s="147"/>
      <c r="V68" s="30">
        <v>45140</v>
      </c>
      <c r="W68" s="146" t="s">
        <v>88</v>
      </c>
      <c r="X68" s="147"/>
      <c r="Y68" s="147"/>
      <c r="Z68" s="147"/>
      <c r="AA68" s="147"/>
      <c r="AB68" s="147"/>
      <c r="AC68" s="30">
        <v>45141</v>
      </c>
      <c r="AD68" s="146" t="s">
        <v>88</v>
      </c>
      <c r="AE68" s="147"/>
      <c r="AF68" s="147"/>
      <c r="AG68" s="147"/>
      <c r="AH68" s="147"/>
      <c r="AI68" s="147"/>
      <c r="AJ68" s="30">
        <v>45142</v>
      </c>
      <c r="AK68" s="8"/>
      <c r="AL68" s="8"/>
    </row>
    <row r="69" spans="1:38">
      <c r="A69" s="8"/>
      <c r="B69" s="36" t="s">
        <v>100</v>
      </c>
      <c r="C69" s="37" t="s">
        <v>98</v>
      </c>
      <c r="D69" s="38" t="s">
        <v>232</v>
      </c>
      <c r="E69" s="37" t="s">
        <v>147</v>
      </c>
      <c r="F69" s="39" t="s">
        <v>97</v>
      </c>
      <c r="G69" s="39">
        <v>4</v>
      </c>
      <c r="H69" s="40">
        <v>45169</v>
      </c>
      <c r="I69" s="36"/>
      <c r="J69" s="37"/>
      <c r="K69" s="38"/>
      <c r="L69" s="37" t="s">
        <v>89</v>
      </c>
      <c r="M69" s="39"/>
      <c r="N69" s="39"/>
      <c r="O69" s="40"/>
      <c r="P69" s="36"/>
      <c r="Q69" s="37"/>
      <c r="R69" s="38"/>
      <c r="S69" s="37" t="s">
        <v>89</v>
      </c>
      <c r="T69" s="39"/>
      <c r="U69" s="39"/>
      <c r="V69" s="40"/>
      <c r="W69" s="36"/>
      <c r="X69" s="37"/>
      <c r="Y69" s="38"/>
      <c r="Z69" s="37" t="s">
        <v>89</v>
      </c>
      <c r="AA69" s="39"/>
      <c r="AB69" s="39"/>
      <c r="AC69" s="40"/>
      <c r="AD69" s="36"/>
      <c r="AE69" s="37"/>
      <c r="AF69" s="38"/>
      <c r="AG69" s="37" t="s">
        <v>89</v>
      </c>
      <c r="AH69" s="39"/>
      <c r="AI69" s="39"/>
      <c r="AJ69" s="40"/>
      <c r="AK69" s="8"/>
      <c r="AL69" s="8"/>
    </row>
    <row r="70" spans="1:38">
      <c r="A70" s="8"/>
      <c r="B70" s="36" t="s">
        <v>116</v>
      </c>
      <c r="C70" s="37" t="s">
        <v>110</v>
      </c>
      <c r="D70" s="105" t="s">
        <v>233</v>
      </c>
      <c r="E70" s="37" t="s">
        <v>89</v>
      </c>
      <c r="F70" s="39" t="s">
        <v>93</v>
      </c>
      <c r="G70" s="39">
        <v>2.5</v>
      </c>
      <c r="H70" s="40">
        <v>45154</v>
      </c>
      <c r="I70" s="36"/>
      <c r="J70" s="37"/>
      <c r="K70" s="38"/>
      <c r="L70" s="37"/>
      <c r="M70" s="39"/>
      <c r="N70" s="39"/>
      <c r="O70" s="40"/>
      <c r="P70" s="36"/>
      <c r="Q70" s="37"/>
      <c r="R70" s="38"/>
      <c r="S70" s="37"/>
      <c r="T70" s="39"/>
      <c r="U70" s="39"/>
      <c r="V70" s="40"/>
      <c r="W70" s="36"/>
      <c r="X70" s="37"/>
      <c r="Y70" s="38"/>
      <c r="Z70" s="37"/>
      <c r="AA70" s="39"/>
      <c r="AB70" s="39"/>
      <c r="AC70" s="40"/>
      <c r="AD70" s="36"/>
      <c r="AE70" s="37"/>
      <c r="AF70" s="38"/>
      <c r="AG70" s="37"/>
      <c r="AH70" s="39"/>
      <c r="AI70" s="39"/>
      <c r="AJ70" s="40"/>
      <c r="AK70" s="8"/>
      <c r="AL70" s="8"/>
    </row>
    <row r="71" spans="1:38">
      <c r="A71" s="8"/>
      <c r="B71" s="36" t="s">
        <v>90</v>
      </c>
      <c r="C71" s="37" t="s">
        <v>91</v>
      </c>
      <c r="D71" s="105" t="s">
        <v>128</v>
      </c>
      <c r="E71" s="37" t="s">
        <v>89</v>
      </c>
      <c r="F71" s="39" t="s">
        <v>97</v>
      </c>
      <c r="G71" s="39">
        <v>2</v>
      </c>
      <c r="H71" s="40">
        <v>45141</v>
      </c>
      <c r="I71" s="36"/>
      <c r="J71" s="37"/>
      <c r="K71" s="38"/>
      <c r="L71" s="37"/>
      <c r="M71" s="39"/>
      <c r="N71" s="39"/>
      <c r="O71" s="40"/>
      <c r="P71" s="36"/>
      <c r="Q71" s="37"/>
      <c r="R71" s="38"/>
      <c r="S71" s="37"/>
      <c r="T71" s="39"/>
      <c r="U71" s="39"/>
      <c r="V71" s="40"/>
      <c r="W71" s="36"/>
      <c r="X71" s="37"/>
      <c r="Y71" s="38"/>
      <c r="Z71" s="37"/>
      <c r="AA71" s="39"/>
      <c r="AB71" s="39"/>
      <c r="AC71" s="40"/>
      <c r="AD71" s="36"/>
      <c r="AE71" s="37"/>
      <c r="AF71" s="38"/>
      <c r="AG71" s="37"/>
      <c r="AH71" s="39"/>
      <c r="AI71" s="39"/>
      <c r="AJ71" s="40"/>
      <c r="AK71" s="8"/>
      <c r="AL71" s="8"/>
    </row>
    <row r="72" spans="1:38">
      <c r="A72" s="8"/>
      <c r="B72" s="36" t="s">
        <v>109</v>
      </c>
      <c r="C72" s="37" t="s">
        <v>110</v>
      </c>
      <c r="D72" s="105" t="s">
        <v>234</v>
      </c>
      <c r="E72" s="37" t="s">
        <v>89</v>
      </c>
      <c r="F72" s="39" t="s">
        <v>97</v>
      </c>
      <c r="G72" s="39">
        <v>4</v>
      </c>
      <c r="H72" s="40">
        <v>45138</v>
      </c>
      <c r="I72" s="36"/>
      <c r="J72" s="37"/>
      <c r="K72" s="38"/>
      <c r="L72" s="37"/>
      <c r="M72" s="39"/>
      <c r="N72" s="39"/>
      <c r="O72" s="40"/>
      <c r="P72" s="36"/>
      <c r="Q72" s="37"/>
      <c r="R72" s="38"/>
      <c r="S72" s="37"/>
      <c r="T72" s="39"/>
      <c r="U72" s="39"/>
      <c r="V72" s="40"/>
      <c r="W72" s="36"/>
      <c r="X72" s="37"/>
      <c r="Y72" s="38"/>
      <c r="Z72" s="37"/>
      <c r="AA72" s="39"/>
      <c r="AB72" s="39"/>
      <c r="AC72" s="40"/>
      <c r="AD72" s="36"/>
      <c r="AE72" s="37"/>
      <c r="AF72" s="38"/>
      <c r="AG72" s="37"/>
      <c r="AH72" s="39"/>
      <c r="AI72" s="39"/>
      <c r="AJ72" s="40"/>
      <c r="AK72" s="8"/>
      <c r="AL72" s="8"/>
    </row>
    <row r="73" spans="1:38">
      <c r="A73" s="8"/>
      <c r="B73" s="36"/>
      <c r="C73" s="37"/>
      <c r="D73" s="38"/>
      <c r="E73" s="37"/>
      <c r="F73" s="39"/>
      <c r="G73" s="39"/>
      <c r="H73" s="40"/>
      <c r="I73" s="36"/>
      <c r="J73" s="37"/>
      <c r="K73" s="38"/>
      <c r="L73" s="37"/>
      <c r="M73" s="39"/>
      <c r="N73" s="39"/>
      <c r="O73" s="40"/>
      <c r="P73" s="36"/>
      <c r="Q73" s="37"/>
      <c r="R73" s="38"/>
      <c r="S73" s="37"/>
      <c r="T73" s="39"/>
      <c r="U73" s="39"/>
      <c r="V73" s="40"/>
      <c r="W73" s="36"/>
      <c r="X73" s="37"/>
      <c r="Y73" s="38"/>
      <c r="Z73" s="37"/>
      <c r="AA73" s="39"/>
      <c r="AB73" s="39"/>
      <c r="AC73" s="40"/>
      <c r="AD73" s="36"/>
      <c r="AE73" s="37"/>
      <c r="AF73" s="38"/>
      <c r="AG73" s="37"/>
      <c r="AH73" s="39"/>
      <c r="AI73" s="39"/>
      <c r="AJ73" s="40"/>
      <c r="AK73" s="8"/>
      <c r="AL73" s="8"/>
    </row>
    <row r="74" spans="1:38">
      <c r="A74" s="8"/>
      <c r="B74" s="36"/>
      <c r="C74" s="37"/>
      <c r="D74" s="38"/>
      <c r="E74" s="37" t="s">
        <v>108</v>
      </c>
      <c r="F74" s="39"/>
      <c r="G74" s="39"/>
      <c r="H74" s="40"/>
      <c r="I74" s="36"/>
      <c r="J74" s="37"/>
      <c r="K74" s="38"/>
      <c r="L74" s="37" t="s">
        <v>108</v>
      </c>
      <c r="M74" s="39"/>
      <c r="N74" s="39"/>
      <c r="O74" s="40"/>
      <c r="P74" s="36"/>
      <c r="Q74" s="37"/>
      <c r="R74" s="38"/>
      <c r="S74" s="37" t="s">
        <v>108</v>
      </c>
      <c r="T74" s="39"/>
      <c r="U74" s="39"/>
      <c r="V74" s="40"/>
      <c r="W74" s="36"/>
      <c r="X74" s="37"/>
      <c r="Y74" s="38"/>
      <c r="Z74" s="37" t="s">
        <v>108</v>
      </c>
      <c r="AA74" s="39"/>
      <c r="AB74" s="39"/>
      <c r="AC74" s="40"/>
      <c r="AD74" s="36"/>
      <c r="AE74" s="37"/>
      <c r="AF74" s="38"/>
      <c r="AG74" s="37" t="s">
        <v>108</v>
      </c>
      <c r="AH74" s="39"/>
      <c r="AI74" s="39"/>
      <c r="AJ74" s="40"/>
      <c r="AK74" s="8"/>
      <c r="AL74" s="8"/>
    </row>
    <row r="75" spans="1:38">
      <c r="A75" s="8"/>
      <c r="B75" s="36" t="s">
        <v>116</v>
      </c>
      <c r="C75" s="37" t="s">
        <v>110</v>
      </c>
      <c r="D75" s="105" t="s">
        <v>235</v>
      </c>
      <c r="E75" s="37" t="s">
        <v>108</v>
      </c>
      <c r="F75" s="39" t="s">
        <v>93</v>
      </c>
      <c r="G75" s="39">
        <v>2</v>
      </c>
      <c r="H75" s="40">
        <v>45150</v>
      </c>
      <c r="I75" s="36"/>
      <c r="J75" s="37"/>
      <c r="K75" s="38"/>
      <c r="L75" s="37"/>
      <c r="M75" s="39"/>
      <c r="N75" s="39"/>
      <c r="O75" s="40"/>
      <c r="P75" s="36"/>
      <c r="Q75" s="37"/>
      <c r="R75" s="38"/>
      <c r="S75" s="37"/>
      <c r="T75" s="39"/>
      <c r="U75" s="39"/>
      <c r="V75" s="40"/>
      <c r="W75" s="36"/>
      <c r="X75" s="37"/>
      <c r="Y75" s="38"/>
      <c r="Z75" s="37"/>
      <c r="AA75" s="39"/>
      <c r="AB75" s="39"/>
      <c r="AC75" s="40"/>
      <c r="AD75" s="36"/>
      <c r="AE75" s="37"/>
      <c r="AF75" s="38"/>
      <c r="AG75" s="37"/>
      <c r="AH75" s="39"/>
      <c r="AI75" s="39"/>
      <c r="AJ75" s="40"/>
      <c r="AK75" s="8"/>
      <c r="AL75" s="8"/>
    </row>
    <row r="76" spans="1:38">
      <c r="A76" s="8"/>
      <c r="B76" s="36" t="s">
        <v>109</v>
      </c>
      <c r="C76" s="37" t="s">
        <v>110</v>
      </c>
      <c r="D76" s="105" t="s">
        <v>234</v>
      </c>
      <c r="E76" s="37" t="s">
        <v>108</v>
      </c>
      <c r="F76" s="39" t="s">
        <v>93</v>
      </c>
      <c r="G76" s="39">
        <v>2</v>
      </c>
      <c r="H76" s="40">
        <v>45138</v>
      </c>
      <c r="I76" s="36"/>
      <c r="J76" s="37"/>
      <c r="K76" s="38"/>
      <c r="L76" s="37"/>
      <c r="M76" s="39"/>
      <c r="N76" s="39"/>
      <c r="O76" s="40"/>
      <c r="P76" s="36"/>
      <c r="Q76" s="37"/>
      <c r="R76" s="38"/>
      <c r="S76" s="37"/>
      <c r="T76" s="39"/>
      <c r="U76" s="39"/>
      <c r="V76" s="40"/>
      <c r="W76" s="36"/>
      <c r="X76" s="37"/>
      <c r="Y76" s="38"/>
      <c r="Z76" s="37"/>
      <c r="AA76" s="39"/>
      <c r="AB76" s="39"/>
      <c r="AC76" s="40"/>
      <c r="AD76" s="36"/>
      <c r="AE76" s="37"/>
      <c r="AF76" s="38"/>
      <c r="AG76" s="37"/>
      <c r="AH76" s="39"/>
      <c r="AI76" s="39"/>
      <c r="AJ76" s="40"/>
      <c r="AK76" s="8"/>
      <c r="AL76" s="8"/>
    </row>
    <row r="77" spans="1:38">
      <c r="A77" s="8"/>
      <c r="B77" s="36"/>
      <c r="C77" s="37"/>
      <c r="D77" s="38"/>
      <c r="E77" s="37"/>
      <c r="F77" s="39"/>
      <c r="G77" s="39"/>
      <c r="H77" s="40"/>
      <c r="I77" s="36"/>
      <c r="J77" s="37"/>
      <c r="K77" s="38"/>
      <c r="L77" s="37"/>
      <c r="M77" s="39"/>
      <c r="N77" s="39"/>
      <c r="O77" s="40"/>
      <c r="P77" s="36"/>
      <c r="Q77" s="37"/>
      <c r="R77" s="38"/>
      <c r="S77" s="37"/>
      <c r="T77" s="39"/>
      <c r="U77" s="39"/>
      <c r="V77" s="40"/>
      <c r="W77" s="36"/>
      <c r="X77" s="37"/>
      <c r="Y77" s="38"/>
      <c r="Z77" s="37"/>
      <c r="AA77" s="39"/>
      <c r="AB77" s="39"/>
      <c r="AC77" s="40"/>
      <c r="AD77" s="36"/>
      <c r="AE77" s="37"/>
      <c r="AF77" s="38"/>
      <c r="AG77" s="37"/>
      <c r="AH77" s="39"/>
      <c r="AI77" s="39"/>
      <c r="AJ77" s="40"/>
      <c r="AK77" s="8"/>
      <c r="AL77" s="8"/>
    </row>
    <row r="78" spans="1:38">
      <c r="A78" s="8"/>
      <c r="B78" s="36"/>
      <c r="C78" s="37"/>
      <c r="D78" s="38"/>
      <c r="E78" s="37"/>
      <c r="F78" s="39"/>
      <c r="G78" s="39"/>
      <c r="H78" s="40"/>
      <c r="I78" s="36"/>
      <c r="J78" s="37"/>
      <c r="K78" s="38"/>
      <c r="L78" s="37"/>
      <c r="M78" s="39"/>
      <c r="N78" s="39"/>
      <c r="O78" s="40"/>
      <c r="P78" s="36"/>
      <c r="Q78" s="37"/>
      <c r="R78" s="38"/>
      <c r="S78" s="37"/>
      <c r="T78" s="39"/>
      <c r="U78" s="39"/>
      <c r="V78" s="40"/>
      <c r="W78" s="36"/>
      <c r="X78" s="37"/>
      <c r="Y78" s="38"/>
      <c r="Z78" s="37"/>
      <c r="AA78" s="39"/>
      <c r="AB78" s="39"/>
      <c r="AC78" s="40"/>
      <c r="AD78" s="36"/>
      <c r="AE78" s="37"/>
      <c r="AF78" s="38"/>
      <c r="AG78" s="37"/>
      <c r="AH78" s="39"/>
      <c r="AI78" s="39"/>
      <c r="AJ78" s="40"/>
      <c r="AK78" s="8"/>
      <c r="AL78" s="8"/>
    </row>
    <row r="79" spans="1:38" ht="18.75" thickBot="1">
      <c r="A79" s="8"/>
      <c r="B79" s="41"/>
      <c r="C79" s="42"/>
      <c r="D79" s="43"/>
      <c r="E79" s="42"/>
      <c r="F79" s="44"/>
      <c r="G79" s="44"/>
      <c r="H79" s="45"/>
      <c r="I79" s="41"/>
      <c r="J79" s="42"/>
      <c r="K79" s="43"/>
      <c r="L79" s="42"/>
      <c r="M79" s="44"/>
      <c r="N79" s="44"/>
      <c r="O79" s="45"/>
      <c r="P79" s="41"/>
      <c r="Q79" s="42"/>
      <c r="R79" s="43"/>
      <c r="S79" s="42"/>
      <c r="T79" s="44"/>
      <c r="U79" s="44"/>
      <c r="V79" s="45"/>
      <c r="W79" s="41"/>
      <c r="X79" s="42"/>
      <c r="Y79" s="43"/>
      <c r="Z79" s="42"/>
      <c r="AA79" s="44"/>
      <c r="AB79" s="44"/>
      <c r="AC79" s="45"/>
      <c r="AD79" s="41"/>
      <c r="AE79" s="42"/>
      <c r="AF79" s="43"/>
      <c r="AG79" s="42"/>
      <c r="AH79" s="44"/>
      <c r="AI79" s="44"/>
      <c r="AJ79" s="45"/>
      <c r="AK79" s="8"/>
      <c r="AL79" s="8"/>
    </row>
    <row r="80" spans="1:38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</row>
    <row r="81" spans="1:38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</row>
    <row r="82" spans="1:38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</row>
    <row r="83" spans="1:38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</row>
  </sheetData>
  <mergeCells count="41">
    <mergeCell ref="B1:D1"/>
    <mergeCell ref="AM1:AO1"/>
    <mergeCell ref="B2:H2"/>
    <mergeCell ref="I2:O2"/>
    <mergeCell ref="P2:V2"/>
    <mergeCell ref="W2:AC2"/>
    <mergeCell ref="AD2:AJ2"/>
    <mergeCell ref="AM2:AM3"/>
    <mergeCell ref="AN2:AN3"/>
    <mergeCell ref="AM5:AM6"/>
    <mergeCell ref="AN5:AN6"/>
    <mergeCell ref="B8:G8"/>
    <mergeCell ref="I8:N8"/>
    <mergeCell ref="P8:U8"/>
    <mergeCell ref="W8:AB8"/>
    <mergeCell ref="AD8:AI8"/>
    <mergeCell ref="B32:G32"/>
    <mergeCell ref="I32:N32"/>
    <mergeCell ref="P32:U32"/>
    <mergeCell ref="W32:AB32"/>
    <mergeCell ref="AD32:AI32"/>
    <mergeCell ref="B20:G20"/>
    <mergeCell ref="I20:N20"/>
    <mergeCell ref="P20:U20"/>
    <mergeCell ref="W20:AB20"/>
    <mergeCell ref="AD20:AI20"/>
    <mergeCell ref="B56:G56"/>
    <mergeCell ref="I56:N56"/>
    <mergeCell ref="P56:U56"/>
    <mergeCell ref="W56:AB56"/>
    <mergeCell ref="AD56:AI56"/>
    <mergeCell ref="B44:G44"/>
    <mergeCell ref="I44:N44"/>
    <mergeCell ref="P44:U44"/>
    <mergeCell ref="W44:AB44"/>
    <mergeCell ref="AD44:AI44"/>
    <mergeCell ref="B68:G68"/>
    <mergeCell ref="I68:N68"/>
    <mergeCell ref="P68:U68"/>
    <mergeCell ref="W68:AB68"/>
    <mergeCell ref="AD68:AI68"/>
  </mergeCells>
  <conditionalFormatting sqref="C9:C19">
    <cfRule type="containsText" dxfId="1415" priority="803" operator="containsText" text="ONE">
      <formula>NOT(ISERROR(SEARCH("ONE",C9)))</formula>
    </cfRule>
    <cfRule type="containsText" dxfId="1414" priority="804" operator="containsText" text="GEM">
      <formula>NOT(ISERROR(SEARCH("GEM",C9)))</formula>
    </cfRule>
    <cfRule type="containsText" dxfId="1413" priority="805" operator="containsText" text="ANIMAX">
      <formula>NOT(ISERROR(SEARCH("ANIMAX",C9)))</formula>
    </cfRule>
    <cfRule type="containsText" dxfId="1412" priority="806" operator="containsText" text="AXN TW">
      <formula>NOT(ISERROR(SEARCH("AXN TW",C9)))</formula>
    </cfRule>
    <cfRule type="containsText" dxfId="1411" priority="807" operator="containsText" text="AXN">
      <formula>NOT(ISERROR(SEARCH("AXN",C9)))</formula>
    </cfRule>
  </conditionalFormatting>
  <conditionalFormatting sqref="E9:E19">
    <cfRule type="containsText" dxfId="1410" priority="800" stopIfTrue="1" operator="containsText" text="Master">
      <formula>NOT(ISERROR(SEARCH("Master",E9)))</formula>
    </cfRule>
    <cfRule type="containsText" dxfId="1409" priority="801" stopIfTrue="1" operator="containsText" text="Freelance Audio">
      <formula>NOT(ISERROR(SEARCH("Freelance Audio",E9)))</formula>
    </cfRule>
    <cfRule type="containsText" dxfId="1408" priority="802" stopIfTrue="1" operator="containsText" text="Audio">
      <formula>NOT(ISERROR(SEARCH("Audio",E9)))</formula>
    </cfRule>
  </conditionalFormatting>
  <conditionalFormatting sqref="J9:J19">
    <cfRule type="containsText" dxfId="1407" priority="795" operator="containsText" text="ONE">
      <formula>NOT(ISERROR(SEARCH("ONE",J9)))</formula>
    </cfRule>
    <cfRule type="containsText" dxfId="1406" priority="796" operator="containsText" text="GEM">
      <formula>NOT(ISERROR(SEARCH("GEM",J9)))</formula>
    </cfRule>
    <cfRule type="containsText" dxfId="1405" priority="797" operator="containsText" text="ANIMAX">
      <formula>NOT(ISERROR(SEARCH("ANIMAX",J9)))</formula>
    </cfRule>
    <cfRule type="containsText" dxfId="1404" priority="798" operator="containsText" text="AXN TW">
      <formula>NOT(ISERROR(SEARCH("AXN TW",J9)))</formula>
    </cfRule>
    <cfRule type="containsText" dxfId="1403" priority="799" operator="containsText" text="AXN">
      <formula>NOT(ISERROR(SEARCH("AXN",J9)))</formula>
    </cfRule>
  </conditionalFormatting>
  <conditionalFormatting sqref="L9:L19">
    <cfRule type="containsText" dxfId="1402" priority="792" stopIfTrue="1" operator="containsText" text="Master">
      <formula>NOT(ISERROR(SEARCH("Master",L9)))</formula>
    </cfRule>
    <cfRule type="containsText" dxfId="1401" priority="793" stopIfTrue="1" operator="containsText" text="Freelance Audio">
      <formula>NOT(ISERROR(SEARCH("Freelance Audio",L9)))</formula>
    </cfRule>
    <cfRule type="containsText" dxfId="1400" priority="794" stopIfTrue="1" operator="containsText" text="Audio">
      <formula>NOT(ISERROR(SEARCH("Audio",L9)))</formula>
    </cfRule>
  </conditionalFormatting>
  <conditionalFormatting sqref="Q9:Q19">
    <cfRule type="containsText" dxfId="1399" priority="787" operator="containsText" text="ONE">
      <formula>NOT(ISERROR(SEARCH("ONE",Q9)))</formula>
    </cfRule>
    <cfRule type="containsText" dxfId="1398" priority="788" operator="containsText" text="GEM">
      <formula>NOT(ISERROR(SEARCH("GEM",Q9)))</formula>
    </cfRule>
    <cfRule type="containsText" dxfId="1397" priority="789" operator="containsText" text="ANIMAX">
      <formula>NOT(ISERROR(SEARCH("ANIMAX",Q9)))</formula>
    </cfRule>
    <cfRule type="containsText" dxfId="1396" priority="790" operator="containsText" text="AXN TW">
      <formula>NOT(ISERROR(SEARCH("AXN TW",Q9)))</formula>
    </cfRule>
    <cfRule type="containsText" dxfId="1395" priority="791" operator="containsText" text="AXN">
      <formula>NOT(ISERROR(SEARCH("AXN",Q9)))</formula>
    </cfRule>
  </conditionalFormatting>
  <conditionalFormatting sqref="S9:S19">
    <cfRule type="containsText" dxfId="1394" priority="784" stopIfTrue="1" operator="containsText" text="Master">
      <formula>NOT(ISERROR(SEARCH("Master",S9)))</formula>
    </cfRule>
    <cfRule type="containsText" dxfId="1393" priority="785" stopIfTrue="1" operator="containsText" text="Freelance Audio">
      <formula>NOT(ISERROR(SEARCH("Freelance Audio",S9)))</formula>
    </cfRule>
    <cfRule type="containsText" dxfId="1392" priority="786" stopIfTrue="1" operator="containsText" text="Audio">
      <formula>NOT(ISERROR(SEARCH("Audio",S9)))</formula>
    </cfRule>
  </conditionalFormatting>
  <conditionalFormatting sqref="X9:X19">
    <cfRule type="containsText" dxfId="1391" priority="779" operator="containsText" text="ONE">
      <formula>NOT(ISERROR(SEARCH("ONE",X9)))</formula>
    </cfRule>
    <cfRule type="containsText" dxfId="1390" priority="780" operator="containsText" text="GEM">
      <formula>NOT(ISERROR(SEARCH("GEM",X9)))</formula>
    </cfRule>
    <cfRule type="containsText" dxfId="1389" priority="781" operator="containsText" text="ANIMAX">
      <formula>NOT(ISERROR(SEARCH("ANIMAX",X9)))</formula>
    </cfRule>
    <cfRule type="containsText" dxfId="1388" priority="782" operator="containsText" text="AXN TW">
      <formula>NOT(ISERROR(SEARCH("AXN TW",X9)))</formula>
    </cfRule>
    <cfRule type="containsText" dxfId="1387" priority="783" operator="containsText" text="AXN">
      <formula>NOT(ISERROR(SEARCH("AXN",X9)))</formula>
    </cfRule>
  </conditionalFormatting>
  <conditionalFormatting sqref="Z9:Z19">
    <cfRule type="containsText" dxfId="1386" priority="776" stopIfTrue="1" operator="containsText" text="Master">
      <formula>NOT(ISERROR(SEARCH("Master",Z9)))</formula>
    </cfRule>
    <cfRule type="containsText" dxfId="1385" priority="777" stopIfTrue="1" operator="containsText" text="Freelance Audio">
      <formula>NOT(ISERROR(SEARCH("Freelance Audio",Z9)))</formula>
    </cfRule>
    <cfRule type="containsText" dxfId="1384" priority="778" stopIfTrue="1" operator="containsText" text="Audio">
      <formula>NOT(ISERROR(SEARCH("Audio",Z9)))</formula>
    </cfRule>
  </conditionalFormatting>
  <conditionalFormatting sqref="AE9:AE19">
    <cfRule type="containsText" dxfId="1383" priority="771" operator="containsText" text="ONE">
      <formula>NOT(ISERROR(SEARCH("ONE",AE9)))</formula>
    </cfRule>
    <cfRule type="containsText" dxfId="1382" priority="772" operator="containsText" text="GEM">
      <formula>NOT(ISERROR(SEARCH("GEM",AE9)))</formula>
    </cfRule>
    <cfRule type="containsText" dxfId="1381" priority="773" operator="containsText" text="ANIMAX">
      <formula>NOT(ISERROR(SEARCH("ANIMAX",AE9)))</formula>
    </cfRule>
    <cfRule type="containsText" dxfId="1380" priority="774" operator="containsText" text="AXN TW">
      <formula>NOT(ISERROR(SEARCH("AXN TW",AE9)))</formula>
    </cfRule>
    <cfRule type="containsText" dxfId="1379" priority="775" operator="containsText" text="AXN">
      <formula>NOT(ISERROR(SEARCH("AXN",AE9)))</formula>
    </cfRule>
  </conditionalFormatting>
  <conditionalFormatting sqref="AG9:AG19">
    <cfRule type="containsText" dxfId="1378" priority="768" stopIfTrue="1" operator="containsText" text="Master">
      <formula>NOT(ISERROR(SEARCH("Master",AG9)))</formula>
    </cfRule>
    <cfRule type="containsText" dxfId="1377" priority="769" stopIfTrue="1" operator="containsText" text="Freelance Audio">
      <formula>NOT(ISERROR(SEARCH("Freelance Audio",AG9)))</formula>
    </cfRule>
    <cfRule type="containsText" dxfId="1376" priority="770" stopIfTrue="1" operator="containsText" text="Audio">
      <formula>NOT(ISERROR(SEARCH("Audio",AG9)))</formula>
    </cfRule>
  </conditionalFormatting>
  <conditionalFormatting sqref="C21:C31">
    <cfRule type="containsText" dxfId="1375" priority="763" operator="containsText" text="ONE">
      <formula>NOT(ISERROR(SEARCH("ONE",C21)))</formula>
    </cfRule>
    <cfRule type="containsText" dxfId="1374" priority="764" operator="containsText" text="GEM">
      <formula>NOT(ISERROR(SEARCH("GEM",C21)))</formula>
    </cfRule>
    <cfRule type="containsText" dxfId="1373" priority="765" operator="containsText" text="ANIMAX">
      <formula>NOT(ISERROR(SEARCH("ANIMAX",C21)))</formula>
    </cfRule>
    <cfRule type="containsText" dxfId="1372" priority="766" operator="containsText" text="AXN TW">
      <formula>NOT(ISERROR(SEARCH("AXN TW",C21)))</formula>
    </cfRule>
    <cfRule type="containsText" dxfId="1371" priority="767" operator="containsText" text="AXN">
      <formula>NOT(ISERROR(SEARCH("AXN",C21)))</formula>
    </cfRule>
  </conditionalFormatting>
  <conditionalFormatting sqref="E21:E31">
    <cfRule type="containsText" dxfId="1370" priority="760" stopIfTrue="1" operator="containsText" text="Master">
      <formula>NOT(ISERROR(SEARCH("Master",E21)))</formula>
    </cfRule>
    <cfRule type="containsText" dxfId="1369" priority="761" stopIfTrue="1" operator="containsText" text="Freelance Audio">
      <formula>NOT(ISERROR(SEARCH("Freelance Audio",E21)))</formula>
    </cfRule>
    <cfRule type="containsText" dxfId="1368" priority="762" stopIfTrue="1" operator="containsText" text="Audio">
      <formula>NOT(ISERROR(SEARCH("Audio",E21)))</formula>
    </cfRule>
  </conditionalFormatting>
  <conditionalFormatting sqref="J21:J31">
    <cfRule type="containsText" dxfId="1367" priority="755" operator="containsText" text="ONE">
      <formula>NOT(ISERROR(SEARCH("ONE",J21)))</formula>
    </cfRule>
    <cfRule type="containsText" dxfId="1366" priority="756" operator="containsText" text="GEM">
      <formula>NOT(ISERROR(SEARCH("GEM",J21)))</formula>
    </cfRule>
    <cfRule type="containsText" dxfId="1365" priority="757" operator="containsText" text="ANIMAX">
      <formula>NOT(ISERROR(SEARCH("ANIMAX",J21)))</formula>
    </cfRule>
    <cfRule type="containsText" dxfId="1364" priority="758" operator="containsText" text="AXN TW">
      <formula>NOT(ISERROR(SEARCH("AXN TW",J21)))</formula>
    </cfRule>
    <cfRule type="containsText" dxfId="1363" priority="759" operator="containsText" text="AXN">
      <formula>NOT(ISERROR(SEARCH("AXN",J21)))</formula>
    </cfRule>
  </conditionalFormatting>
  <conditionalFormatting sqref="L21:L31">
    <cfRule type="containsText" dxfId="1362" priority="752" stopIfTrue="1" operator="containsText" text="Master">
      <formula>NOT(ISERROR(SEARCH("Master",L21)))</formula>
    </cfRule>
    <cfRule type="containsText" dxfId="1361" priority="753" stopIfTrue="1" operator="containsText" text="Freelance Audio">
      <formula>NOT(ISERROR(SEARCH("Freelance Audio",L21)))</formula>
    </cfRule>
    <cfRule type="containsText" dxfId="1360" priority="754" stopIfTrue="1" operator="containsText" text="Audio">
      <formula>NOT(ISERROR(SEARCH("Audio",L21)))</formula>
    </cfRule>
  </conditionalFormatting>
  <conditionalFormatting sqref="Q21:Q31">
    <cfRule type="containsText" dxfId="1359" priority="747" operator="containsText" text="ONE">
      <formula>NOT(ISERROR(SEARCH("ONE",Q21)))</formula>
    </cfRule>
    <cfRule type="containsText" dxfId="1358" priority="748" operator="containsText" text="GEM">
      <formula>NOT(ISERROR(SEARCH("GEM",Q21)))</formula>
    </cfRule>
    <cfRule type="containsText" dxfId="1357" priority="749" operator="containsText" text="ANIMAX">
      <formula>NOT(ISERROR(SEARCH("ANIMAX",Q21)))</formula>
    </cfRule>
    <cfRule type="containsText" dxfId="1356" priority="750" operator="containsText" text="AXN TW">
      <formula>NOT(ISERROR(SEARCH("AXN TW",Q21)))</formula>
    </cfRule>
    <cfRule type="containsText" dxfId="1355" priority="751" operator="containsText" text="AXN">
      <formula>NOT(ISERROR(SEARCH("AXN",Q21)))</formula>
    </cfRule>
  </conditionalFormatting>
  <conditionalFormatting sqref="S21:S31">
    <cfRule type="containsText" dxfId="1354" priority="744" stopIfTrue="1" operator="containsText" text="Master">
      <formula>NOT(ISERROR(SEARCH("Master",S21)))</formula>
    </cfRule>
    <cfRule type="containsText" dxfId="1353" priority="745" stopIfTrue="1" operator="containsText" text="Freelance Audio">
      <formula>NOT(ISERROR(SEARCH("Freelance Audio",S21)))</formula>
    </cfRule>
    <cfRule type="containsText" dxfId="1352" priority="746" stopIfTrue="1" operator="containsText" text="Audio">
      <formula>NOT(ISERROR(SEARCH("Audio",S21)))</formula>
    </cfRule>
  </conditionalFormatting>
  <conditionalFormatting sqref="X21:X26 X28:X31">
    <cfRule type="containsText" dxfId="1351" priority="739" operator="containsText" text="ONE">
      <formula>NOT(ISERROR(SEARCH("ONE",X21)))</formula>
    </cfRule>
    <cfRule type="containsText" dxfId="1350" priority="740" operator="containsText" text="GEM">
      <formula>NOT(ISERROR(SEARCH("GEM",X21)))</formula>
    </cfRule>
    <cfRule type="containsText" dxfId="1349" priority="741" operator="containsText" text="ANIMAX">
      <formula>NOT(ISERROR(SEARCH("ANIMAX",X21)))</formula>
    </cfRule>
    <cfRule type="containsText" dxfId="1348" priority="742" operator="containsText" text="AXN TW">
      <formula>NOT(ISERROR(SEARCH("AXN TW",X21)))</formula>
    </cfRule>
    <cfRule type="containsText" dxfId="1347" priority="743" operator="containsText" text="AXN">
      <formula>NOT(ISERROR(SEARCH("AXN",X21)))</formula>
    </cfRule>
  </conditionalFormatting>
  <conditionalFormatting sqref="Z21:Z26 Z28:Z31">
    <cfRule type="containsText" dxfId="1346" priority="736" stopIfTrue="1" operator="containsText" text="Master">
      <formula>NOT(ISERROR(SEARCH("Master",Z21)))</formula>
    </cfRule>
    <cfRule type="containsText" dxfId="1345" priority="737" stopIfTrue="1" operator="containsText" text="Freelance Audio">
      <formula>NOT(ISERROR(SEARCH("Freelance Audio",Z21)))</formula>
    </cfRule>
    <cfRule type="containsText" dxfId="1344" priority="738" stopIfTrue="1" operator="containsText" text="Audio">
      <formula>NOT(ISERROR(SEARCH("Audio",Z21)))</formula>
    </cfRule>
  </conditionalFormatting>
  <conditionalFormatting sqref="AE22:AE25 AE28:AE31">
    <cfRule type="containsText" dxfId="1343" priority="731" operator="containsText" text="ONE">
      <formula>NOT(ISERROR(SEARCH("ONE",AE22)))</formula>
    </cfRule>
    <cfRule type="containsText" dxfId="1342" priority="732" operator="containsText" text="GEM">
      <formula>NOT(ISERROR(SEARCH("GEM",AE22)))</formula>
    </cfRule>
    <cfRule type="containsText" dxfId="1341" priority="733" operator="containsText" text="ANIMAX">
      <formula>NOT(ISERROR(SEARCH("ANIMAX",AE22)))</formula>
    </cfRule>
    <cfRule type="containsText" dxfId="1340" priority="734" operator="containsText" text="AXN TW">
      <formula>NOT(ISERROR(SEARCH("AXN TW",AE22)))</formula>
    </cfRule>
    <cfRule type="containsText" dxfId="1339" priority="735" operator="containsText" text="AXN">
      <formula>NOT(ISERROR(SEARCH("AXN",AE22)))</formula>
    </cfRule>
  </conditionalFormatting>
  <conditionalFormatting sqref="AG22:AG25 AG28:AG31">
    <cfRule type="containsText" dxfId="1338" priority="728" stopIfTrue="1" operator="containsText" text="Master">
      <formula>NOT(ISERROR(SEARCH("Master",AG22)))</formula>
    </cfRule>
    <cfRule type="containsText" dxfId="1337" priority="729" stopIfTrue="1" operator="containsText" text="Freelance Audio">
      <formula>NOT(ISERROR(SEARCH("Freelance Audio",AG22)))</formula>
    </cfRule>
    <cfRule type="containsText" dxfId="1336" priority="730" stopIfTrue="1" operator="containsText" text="Audio">
      <formula>NOT(ISERROR(SEARCH("Audio",AG22)))</formula>
    </cfRule>
  </conditionalFormatting>
  <conditionalFormatting sqref="C35:C37 C40:C43">
    <cfRule type="containsText" dxfId="1335" priority="723" operator="containsText" text="ONE">
      <formula>NOT(ISERROR(SEARCH("ONE",C35)))</formula>
    </cfRule>
    <cfRule type="containsText" dxfId="1334" priority="724" operator="containsText" text="GEM">
      <formula>NOT(ISERROR(SEARCH("GEM",C35)))</formula>
    </cfRule>
    <cfRule type="containsText" dxfId="1333" priority="725" operator="containsText" text="ANIMAX">
      <formula>NOT(ISERROR(SEARCH("ANIMAX",C35)))</formula>
    </cfRule>
    <cfRule type="containsText" dxfId="1332" priority="726" operator="containsText" text="AXN TW">
      <formula>NOT(ISERROR(SEARCH("AXN TW",C35)))</formula>
    </cfRule>
    <cfRule type="containsText" dxfId="1331" priority="727" operator="containsText" text="AXN">
      <formula>NOT(ISERROR(SEARCH("AXN",C35)))</formula>
    </cfRule>
  </conditionalFormatting>
  <conditionalFormatting sqref="E35:E37 E40:E43">
    <cfRule type="containsText" dxfId="1330" priority="720" stopIfTrue="1" operator="containsText" text="Master">
      <formula>NOT(ISERROR(SEARCH("Master",E35)))</formula>
    </cfRule>
    <cfRule type="containsText" dxfId="1329" priority="721" stopIfTrue="1" operator="containsText" text="Freelance Audio">
      <formula>NOT(ISERROR(SEARCH("Freelance Audio",E35)))</formula>
    </cfRule>
    <cfRule type="containsText" dxfId="1328" priority="722" stopIfTrue="1" operator="containsText" text="Audio">
      <formula>NOT(ISERROR(SEARCH("Audio",E35)))</formula>
    </cfRule>
  </conditionalFormatting>
  <conditionalFormatting sqref="J33:J43">
    <cfRule type="containsText" dxfId="1327" priority="715" operator="containsText" text="ONE">
      <formula>NOT(ISERROR(SEARCH("ONE",J33)))</formula>
    </cfRule>
    <cfRule type="containsText" dxfId="1326" priority="716" operator="containsText" text="GEM">
      <formula>NOT(ISERROR(SEARCH("GEM",J33)))</formula>
    </cfRule>
    <cfRule type="containsText" dxfId="1325" priority="717" operator="containsText" text="ANIMAX">
      <formula>NOT(ISERROR(SEARCH("ANIMAX",J33)))</formula>
    </cfRule>
    <cfRule type="containsText" dxfId="1324" priority="718" operator="containsText" text="AXN TW">
      <formula>NOT(ISERROR(SEARCH("AXN TW",J33)))</formula>
    </cfRule>
    <cfRule type="containsText" dxfId="1323" priority="719" operator="containsText" text="AXN">
      <formula>NOT(ISERROR(SEARCH("AXN",J33)))</formula>
    </cfRule>
  </conditionalFormatting>
  <conditionalFormatting sqref="L33:L43">
    <cfRule type="containsText" dxfId="1322" priority="712" stopIfTrue="1" operator="containsText" text="Master">
      <formula>NOT(ISERROR(SEARCH("Master",L33)))</formula>
    </cfRule>
    <cfRule type="containsText" dxfId="1321" priority="713" stopIfTrue="1" operator="containsText" text="Freelance Audio">
      <formula>NOT(ISERROR(SEARCH("Freelance Audio",L33)))</formula>
    </cfRule>
    <cfRule type="containsText" dxfId="1320" priority="714" stopIfTrue="1" operator="containsText" text="Audio">
      <formula>NOT(ISERROR(SEARCH("Audio",L33)))</formula>
    </cfRule>
  </conditionalFormatting>
  <conditionalFormatting sqref="Q33:Q43">
    <cfRule type="containsText" dxfId="1319" priority="707" operator="containsText" text="ONE">
      <formula>NOT(ISERROR(SEARCH("ONE",Q33)))</formula>
    </cfRule>
    <cfRule type="containsText" dxfId="1318" priority="708" operator="containsText" text="GEM">
      <formula>NOT(ISERROR(SEARCH("GEM",Q33)))</formula>
    </cfRule>
    <cfRule type="containsText" dxfId="1317" priority="709" operator="containsText" text="ANIMAX">
      <formula>NOT(ISERROR(SEARCH("ANIMAX",Q33)))</formula>
    </cfRule>
    <cfRule type="containsText" dxfId="1316" priority="710" operator="containsText" text="AXN TW">
      <formula>NOT(ISERROR(SEARCH("AXN TW",Q33)))</formula>
    </cfRule>
    <cfRule type="containsText" dxfId="1315" priority="711" operator="containsText" text="AXN">
      <formula>NOT(ISERROR(SEARCH("AXN",Q33)))</formula>
    </cfRule>
  </conditionalFormatting>
  <conditionalFormatting sqref="S33:S43">
    <cfRule type="containsText" dxfId="1314" priority="704" stopIfTrue="1" operator="containsText" text="Master">
      <formula>NOT(ISERROR(SEARCH("Master",S33)))</formula>
    </cfRule>
    <cfRule type="containsText" dxfId="1313" priority="705" stopIfTrue="1" operator="containsText" text="Freelance Audio">
      <formula>NOT(ISERROR(SEARCH("Freelance Audio",S33)))</formula>
    </cfRule>
    <cfRule type="containsText" dxfId="1312" priority="706" stopIfTrue="1" operator="containsText" text="Audio">
      <formula>NOT(ISERROR(SEARCH("Audio",S33)))</formula>
    </cfRule>
  </conditionalFormatting>
  <conditionalFormatting sqref="X33:X37 X41:X43">
    <cfRule type="containsText" dxfId="1311" priority="699" operator="containsText" text="ONE">
      <formula>NOT(ISERROR(SEARCH("ONE",X33)))</formula>
    </cfRule>
    <cfRule type="containsText" dxfId="1310" priority="700" operator="containsText" text="GEM">
      <formula>NOT(ISERROR(SEARCH("GEM",X33)))</formula>
    </cfRule>
    <cfRule type="containsText" dxfId="1309" priority="701" operator="containsText" text="ANIMAX">
      <formula>NOT(ISERROR(SEARCH("ANIMAX",X33)))</formula>
    </cfRule>
    <cfRule type="containsText" dxfId="1308" priority="702" operator="containsText" text="AXN TW">
      <formula>NOT(ISERROR(SEARCH("AXN TW",X33)))</formula>
    </cfRule>
    <cfRule type="containsText" dxfId="1307" priority="703" operator="containsText" text="AXN">
      <formula>NOT(ISERROR(SEARCH("AXN",X33)))</formula>
    </cfRule>
  </conditionalFormatting>
  <conditionalFormatting sqref="Z39:Z43 Z33:Z37">
    <cfRule type="containsText" dxfId="1306" priority="696" stopIfTrue="1" operator="containsText" text="Master">
      <formula>NOT(ISERROR(SEARCH("Master",Z33)))</formula>
    </cfRule>
    <cfRule type="containsText" dxfId="1305" priority="697" stopIfTrue="1" operator="containsText" text="Freelance Audio">
      <formula>NOT(ISERROR(SEARCH("Freelance Audio",Z33)))</formula>
    </cfRule>
    <cfRule type="containsText" dxfId="1304" priority="698" stopIfTrue="1" operator="containsText" text="Audio">
      <formula>NOT(ISERROR(SEARCH("Audio",Z33)))</formula>
    </cfRule>
  </conditionalFormatting>
  <conditionalFormatting sqref="AE36:AE37 AE40:AE43">
    <cfRule type="containsText" dxfId="1303" priority="691" operator="containsText" text="ONE">
      <formula>NOT(ISERROR(SEARCH("ONE",AE36)))</formula>
    </cfRule>
    <cfRule type="containsText" dxfId="1302" priority="692" operator="containsText" text="GEM">
      <formula>NOT(ISERROR(SEARCH("GEM",AE36)))</formula>
    </cfRule>
    <cfRule type="containsText" dxfId="1301" priority="693" operator="containsText" text="ANIMAX">
      <formula>NOT(ISERROR(SEARCH("ANIMAX",AE36)))</formula>
    </cfRule>
    <cfRule type="containsText" dxfId="1300" priority="694" operator="containsText" text="AXN TW">
      <formula>NOT(ISERROR(SEARCH("AXN TW",AE36)))</formula>
    </cfRule>
    <cfRule type="containsText" dxfId="1299" priority="695" operator="containsText" text="AXN">
      <formula>NOT(ISERROR(SEARCH("AXN",AE36)))</formula>
    </cfRule>
  </conditionalFormatting>
  <conditionalFormatting sqref="AG40:AG43 AG36:AG37">
    <cfRule type="containsText" dxfId="1298" priority="688" stopIfTrue="1" operator="containsText" text="Master">
      <formula>NOT(ISERROR(SEARCH("Master",AG36)))</formula>
    </cfRule>
    <cfRule type="containsText" dxfId="1297" priority="689" stopIfTrue="1" operator="containsText" text="Freelance Audio">
      <formula>NOT(ISERROR(SEARCH("Freelance Audio",AG36)))</formula>
    </cfRule>
    <cfRule type="containsText" dxfId="1296" priority="690" stopIfTrue="1" operator="containsText" text="Audio">
      <formula>NOT(ISERROR(SEARCH("Audio",AG36)))</formula>
    </cfRule>
  </conditionalFormatting>
  <conditionalFormatting sqref="C47:C49 C54:C55">
    <cfRule type="containsText" dxfId="1295" priority="683" operator="containsText" text="ONE">
      <formula>NOT(ISERROR(SEARCH("ONE",C47)))</formula>
    </cfRule>
    <cfRule type="containsText" dxfId="1294" priority="684" operator="containsText" text="GEM">
      <formula>NOT(ISERROR(SEARCH("GEM",C47)))</formula>
    </cfRule>
    <cfRule type="containsText" dxfId="1293" priority="685" operator="containsText" text="ANIMAX">
      <formula>NOT(ISERROR(SEARCH("ANIMAX",C47)))</formula>
    </cfRule>
    <cfRule type="containsText" dxfId="1292" priority="686" operator="containsText" text="AXN TW">
      <formula>NOT(ISERROR(SEARCH("AXN TW",C47)))</formula>
    </cfRule>
    <cfRule type="containsText" dxfId="1291" priority="687" operator="containsText" text="AXN">
      <formula>NOT(ISERROR(SEARCH("AXN",C47)))</formula>
    </cfRule>
  </conditionalFormatting>
  <conditionalFormatting sqref="E48:E49 E54:E55">
    <cfRule type="containsText" dxfId="1290" priority="680" stopIfTrue="1" operator="containsText" text="Master">
      <formula>NOT(ISERROR(SEARCH("Master",E48)))</formula>
    </cfRule>
    <cfRule type="containsText" dxfId="1289" priority="681" stopIfTrue="1" operator="containsText" text="Freelance Audio">
      <formula>NOT(ISERROR(SEARCH("Freelance Audio",E48)))</formula>
    </cfRule>
    <cfRule type="containsText" dxfId="1288" priority="682" stopIfTrue="1" operator="containsText" text="Audio">
      <formula>NOT(ISERROR(SEARCH("Audio",E48)))</formula>
    </cfRule>
  </conditionalFormatting>
  <conditionalFormatting sqref="J47:J50 J53:J55">
    <cfRule type="containsText" dxfId="1287" priority="675" operator="containsText" text="ONE">
      <formula>NOT(ISERROR(SEARCH("ONE",J47)))</formula>
    </cfRule>
    <cfRule type="containsText" dxfId="1286" priority="676" operator="containsText" text="GEM">
      <formula>NOT(ISERROR(SEARCH("GEM",J47)))</formula>
    </cfRule>
    <cfRule type="containsText" dxfId="1285" priority="677" operator="containsText" text="ANIMAX">
      <formula>NOT(ISERROR(SEARCH("ANIMAX",J47)))</formula>
    </cfRule>
    <cfRule type="containsText" dxfId="1284" priority="678" operator="containsText" text="AXN TW">
      <formula>NOT(ISERROR(SEARCH("AXN TW",J47)))</formula>
    </cfRule>
    <cfRule type="containsText" dxfId="1283" priority="679" operator="containsText" text="AXN">
      <formula>NOT(ISERROR(SEARCH("AXN",J47)))</formula>
    </cfRule>
  </conditionalFormatting>
  <conditionalFormatting sqref="L48:L55">
    <cfRule type="containsText" dxfId="1282" priority="672" stopIfTrue="1" operator="containsText" text="Master">
      <formula>NOT(ISERROR(SEARCH("Master",L48)))</formula>
    </cfRule>
    <cfRule type="containsText" dxfId="1281" priority="673" stopIfTrue="1" operator="containsText" text="Freelance Audio">
      <formula>NOT(ISERROR(SEARCH("Freelance Audio",L48)))</formula>
    </cfRule>
    <cfRule type="containsText" dxfId="1280" priority="674" stopIfTrue="1" operator="containsText" text="Audio">
      <formula>NOT(ISERROR(SEARCH("Audio",L48)))</formula>
    </cfRule>
  </conditionalFormatting>
  <conditionalFormatting sqref="Q46:Q49 Q53:Q55">
    <cfRule type="containsText" dxfId="1279" priority="667" operator="containsText" text="ONE">
      <formula>NOT(ISERROR(SEARCH("ONE",Q46)))</formula>
    </cfRule>
    <cfRule type="containsText" dxfId="1278" priority="668" operator="containsText" text="GEM">
      <formula>NOT(ISERROR(SEARCH("GEM",Q46)))</formula>
    </cfRule>
    <cfRule type="containsText" dxfId="1277" priority="669" operator="containsText" text="ANIMAX">
      <formula>NOT(ISERROR(SEARCH("ANIMAX",Q46)))</formula>
    </cfRule>
    <cfRule type="containsText" dxfId="1276" priority="670" operator="containsText" text="AXN TW">
      <formula>NOT(ISERROR(SEARCH("AXN TW",Q46)))</formula>
    </cfRule>
    <cfRule type="containsText" dxfId="1275" priority="671" operator="containsText" text="AXN">
      <formula>NOT(ISERROR(SEARCH("AXN",Q46)))</formula>
    </cfRule>
  </conditionalFormatting>
  <conditionalFormatting sqref="S46:S51 S53:S55">
    <cfRule type="containsText" dxfId="1274" priority="664" stopIfTrue="1" operator="containsText" text="Master">
      <formula>NOT(ISERROR(SEARCH("Master",S46)))</formula>
    </cfRule>
    <cfRule type="containsText" dxfId="1273" priority="665" stopIfTrue="1" operator="containsText" text="Freelance Audio">
      <formula>NOT(ISERROR(SEARCH("Freelance Audio",S46)))</formula>
    </cfRule>
    <cfRule type="containsText" dxfId="1272" priority="666" stopIfTrue="1" operator="containsText" text="Audio">
      <formula>NOT(ISERROR(SEARCH("Audio",S46)))</formula>
    </cfRule>
  </conditionalFormatting>
  <conditionalFormatting sqref="X45:X49 X53:X55">
    <cfRule type="containsText" dxfId="1271" priority="659" operator="containsText" text="ONE">
      <formula>NOT(ISERROR(SEARCH("ONE",X45)))</formula>
    </cfRule>
    <cfRule type="containsText" dxfId="1270" priority="660" operator="containsText" text="GEM">
      <formula>NOT(ISERROR(SEARCH("GEM",X45)))</formula>
    </cfRule>
    <cfRule type="containsText" dxfId="1269" priority="661" operator="containsText" text="ANIMAX">
      <formula>NOT(ISERROR(SEARCH("ANIMAX",X45)))</formula>
    </cfRule>
    <cfRule type="containsText" dxfId="1268" priority="662" operator="containsText" text="AXN TW">
      <formula>NOT(ISERROR(SEARCH("AXN TW",X45)))</formula>
    </cfRule>
    <cfRule type="containsText" dxfId="1267" priority="663" operator="containsText" text="AXN">
      <formula>NOT(ISERROR(SEARCH("AXN",X45)))</formula>
    </cfRule>
  </conditionalFormatting>
  <conditionalFormatting sqref="Z45:Z49 Z53:Z55">
    <cfRule type="containsText" dxfId="1266" priority="656" stopIfTrue="1" operator="containsText" text="Master">
      <formula>NOT(ISERROR(SEARCH("Master",Z45)))</formula>
    </cfRule>
    <cfRule type="containsText" dxfId="1265" priority="657" stopIfTrue="1" operator="containsText" text="Freelance Audio">
      <formula>NOT(ISERROR(SEARCH("Freelance Audio",Z45)))</formula>
    </cfRule>
    <cfRule type="containsText" dxfId="1264" priority="658" stopIfTrue="1" operator="containsText" text="Audio">
      <formula>NOT(ISERROR(SEARCH("Audio",Z45)))</formula>
    </cfRule>
  </conditionalFormatting>
  <conditionalFormatting sqref="AE45:AE55">
    <cfRule type="containsText" dxfId="1263" priority="651" operator="containsText" text="ONE">
      <formula>NOT(ISERROR(SEARCH("ONE",AE45)))</formula>
    </cfRule>
    <cfRule type="containsText" dxfId="1262" priority="652" operator="containsText" text="GEM">
      <formula>NOT(ISERROR(SEARCH("GEM",AE45)))</formula>
    </cfRule>
    <cfRule type="containsText" dxfId="1261" priority="653" operator="containsText" text="ANIMAX">
      <formula>NOT(ISERROR(SEARCH("ANIMAX",AE45)))</formula>
    </cfRule>
    <cfRule type="containsText" dxfId="1260" priority="654" operator="containsText" text="AXN TW">
      <formula>NOT(ISERROR(SEARCH("AXN TW",AE45)))</formula>
    </cfRule>
    <cfRule type="containsText" dxfId="1259" priority="655" operator="containsText" text="AXN">
      <formula>NOT(ISERROR(SEARCH("AXN",AE45)))</formula>
    </cfRule>
  </conditionalFormatting>
  <conditionalFormatting sqref="AG45:AG55">
    <cfRule type="containsText" dxfId="1258" priority="648" stopIfTrue="1" operator="containsText" text="Master">
      <formula>NOT(ISERROR(SEARCH("Master",AG45)))</formula>
    </cfRule>
    <cfRule type="containsText" dxfId="1257" priority="649" stopIfTrue="1" operator="containsText" text="Freelance Audio">
      <formula>NOT(ISERROR(SEARCH("Freelance Audio",AG45)))</formula>
    </cfRule>
    <cfRule type="containsText" dxfId="1256" priority="650" stopIfTrue="1" operator="containsText" text="Audio">
      <formula>NOT(ISERROR(SEARCH("Audio",AG45)))</formula>
    </cfRule>
  </conditionalFormatting>
  <conditionalFormatting sqref="C65:C67 C57:C62">
    <cfRule type="containsText" dxfId="1255" priority="643" operator="containsText" text="ONE">
      <formula>NOT(ISERROR(SEARCH("ONE",C57)))</formula>
    </cfRule>
    <cfRule type="containsText" dxfId="1254" priority="644" operator="containsText" text="GEM">
      <formula>NOT(ISERROR(SEARCH("GEM",C57)))</formula>
    </cfRule>
    <cfRule type="containsText" dxfId="1253" priority="645" operator="containsText" text="ANIMAX">
      <formula>NOT(ISERROR(SEARCH("ANIMAX",C57)))</formula>
    </cfRule>
    <cfRule type="containsText" dxfId="1252" priority="646" operator="containsText" text="AXN TW">
      <formula>NOT(ISERROR(SEARCH("AXN TW",C57)))</formula>
    </cfRule>
    <cfRule type="containsText" dxfId="1251" priority="647" operator="containsText" text="AXN">
      <formula>NOT(ISERROR(SEARCH("AXN",C57)))</formula>
    </cfRule>
  </conditionalFormatting>
  <conditionalFormatting sqref="E57 E59:E62 E65:E67">
    <cfRule type="containsText" dxfId="1250" priority="640" stopIfTrue="1" operator="containsText" text="Master">
      <formula>NOT(ISERROR(SEARCH("Master",E57)))</formula>
    </cfRule>
    <cfRule type="containsText" dxfId="1249" priority="641" stopIfTrue="1" operator="containsText" text="Freelance Audio">
      <formula>NOT(ISERROR(SEARCH("Freelance Audio",E57)))</formula>
    </cfRule>
    <cfRule type="containsText" dxfId="1248" priority="642" stopIfTrue="1" operator="containsText" text="Audio">
      <formula>NOT(ISERROR(SEARCH("Audio",E57)))</formula>
    </cfRule>
  </conditionalFormatting>
  <conditionalFormatting sqref="J57 J66:J67 J61:J64">
    <cfRule type="containsText" dxfId="1247" priority="635" operator="containsText" text="ONE">
      <formula>NOT(ISERROR(SEARCH("ONE",J57)))</formula>
    </cfRule>
    <cfRule type="containsText" dxfId="1246" priority="636" operator="containsText" text="GEM">
      <formula>NOT(ISERROR(SEARCH("GEM",J57)))</formula>
    </cfRule>
    <cfRule type="containsText" dxfId="1245" priority="637" operator="containsText" text="ANIMAX">
      <formula>NOT(ISERROR(SEARCH("ANIMAX",J57)))</formula>
    </cfRule>
    <cfRule type="containsText" dxfId="1244" priority="638" operator="containsText" text="AXN TW">
      <formula>NOT(ISERROR(SEARCH("AXN TW",J57)))</formula>
    </cfRule>
    <cfRule type="containsText" dxfId="1243" priority="639" operator="containsText" text="AXN">
      <formula>NOT(ISERROR(SEARCH("AXN",J57)))</formula>
    </cfRule>
  </conditionalFormatting>
  <conditionalFormatting sqref="L57 L66:L67 L61:L64">
    <cfRule type="containsText" dxfId="1242" priority="632" stopIfTrue="1" operator="containsText" text="Master">
      <formula>NOT(ISERROR(SEARCH("Master",L57)))</formula>
    </cfRule>
    <cfRule type="containsText" dxfId="1241" priority="633" stopIfTrue="1" operator="containsText" text="Freelance Audio">
      <formula>NOT(ISERROR(SEARCH("Freelance Audio",L57)))</formula>
    </cfRule>
    <cfRule type="containsText" dxfId="1240" priority="634" stopIfTrue="1" operator="containsText" text="Audio">
      <formula>NOT(ISERROR(SEARCH("Audio",L57)))</formula>
    </cfRule>
  </conditionalFormatting>
  <conditionalFormatting sqref="Q67 Q57:Q65">
    <cfRule type="containsText" dxfId="1239" priority="627" operator="containsText" text="ONE">
      <formula>NOT(ISERROR(SEARCH("ONE",Q57)))</formula>
    </cfRule>
    <cfRule type="containsText" dxfId="1238" priority="628" operator="containsText" text="GEM">
      <formula>NOT(ISERROR(SEARCH("GEM",Q57)))</formula>
    </cfRule>
    <cfRule type="containsText" dxfId="1237" priority="629" operator="containsText" text="ANIMAX">
      <formula>NOT(ISERROR(SEARCH("ANIMAX",Q57)))</formula>
    </cfRule>
    <cfRule type="containsText" dxfId="1236" priority="630" operator="containsText" text="AXN TW">
      <formula>NOT(ISERROR(SEARCH("AXN TW",Q57)))</formula>
    </cfRule>
    <cfRule type="containsText" dxfId="1235" priority="631" operator="containsText" text="AXN">
      <formula>NOT(ISERROR(SEARCH("AXN",Q57)))</formula>
    </cfRule>
  </conditionalFormatting>
  <conditionalFormatting sqref="S67 S57:S65">
    <cfRule type="containsText" dxfId="1234" priority="624" stopIfTrue="1" operator="containsText" text="Master">
      <formula>NOT(ISERROR(SEARCH("Master",S57)))</formula>
    </cfRule>
    <cfRule type="containsText" dxfId="1233" priority="625" stopIfTrue="1" operator="containsText" text="Freelance Audio">
      <formula>NOT(ISERROR(SEARCH("Freelance Audio",S57)))</formula>
    </cfRule>
    <cfRule type="containsText" dxfId="1232" priority="626" stopIfTrue="1" operator="containsText" text="Audio">
      <formula>NOT(ISERROR(SEARCH("Audio",S57)))</formula>
    </cfRule>
  </conditionalFormatting>
  <conditionalFormatting sqref="X66:X67 X57:X61">
    <cfRule type="containsText" dxfId="1231" priority="619" operator="containsText" text="ONE">
      <formula>NOT(ISERROR(SEARCH("ONE",X57)))</formula>
    </cfRule>
    <cfRule type="containsText" dxfId="1230" priority="620" operator="containsText" text="GEM">
      <formula>NOT(ISERROR(SEARCH("GEM",X57)))</formula>
    </cfRule>
    <cfRule type="containsText" dxfId="1229" priority="621" operator="containsText" text="ANIMAX">
      <formula>NOT(ISERROR(SEARCH("ANIMAX",X57)))</formula>
    </cfRule>
    <cfRule type="containsText" dxfId="1228" priority="622" operator="containsText" text="AXN TW">
      <formula>NOT(ISERROR(SEARCH("AXN TW",X57)))</formula>
    </cfRule>
    <cfRule type="containsText" dxfId="1227" priority="623" operator="containsText" text="AXN">
      <formula>NOT(ISERROR(SEARCH("AXN",X57)))</formula>
    </cfRule>
  </conditionalFormatting>
  <conditionalFormatting sqref="Z66:Z67 Z57:Z61">
    <cfRule type="containsText" dxfId="1226" priority="616" stopIfTrue="1" operator="containsText" text="Master">
      <formula>NOT(ISERROR(SEARCH("Master",Z57)))</formula>
    </cfRule>
    <cfRule type="containsText" dxfId="1225" priority="617" stopIfTrue="1" operator="containsText" text="Freelance Audio">
      <formula>NOT(ISERROR(SEARCH("Freelance Audio",Z57)))</formula>
    </cfRule>
    <cfRule type="containsText" dxfId="1224" priority="618" stopIfTrue="1" operator="containsText" text="Audio">
      <formula>NOT(ISERROR(SEARCH("Audio",Z57)))</formula>
    </cfRule>
  </conditionalFormatting>
  <conditionalFormatting sqref="AE59:AE61 AE63:AE64 AE66:AE67">
    <cfRule type="containsText" dxfId="1223" priority="611" operator="containsText" text="ONE">
      <formula>NOT(ISERROR(SEARCH("ONE",AE59)))</formula>
    </cfRule>
    <cfRule type="containsText" dxfId="1222" priority="612" operator="containsText" text="GEM">
      <formula>NOT(ISERROR(SEARCH("GEM",AE59)))</formula>
    </cfRule>
    <cfRule type="containsText" dxfId="1221" priority="613" operator="containsText" text="ANIMAX">
      <formula>NOT(ISERROR(SEARCH("ANIMAX",AE59)))</formula>
    </cfRule>
    <cfRule type="containsText" dxfId="1220" priority="614" operator="containsText" text="AXN TW">
      <formula>NOT(ISERROR(SEARCH("AXN TW",AE59)))</formula>
    </cfRule>
    <cfRule type="containsText" dxfId="1219" priority="615" operator="containsText" text="AXN">
      <formula>NOT(ISERROR(SEARCH("AXN",AE59)))</formula>
    </cfRule>
  </conditionalFormatting>
  <conditionalFormatting sqref="AG59:AG61 AG63:AG67">
    <cfRule type="containsText" dxfId="1218" priority="608" stopIfTrue="1" operator="containsText" text="Master">
      <formula>NOT(ISERROR(SEARCH("Master",AG59)))</formula>
    </cfRule>
    <cfRule type="containsText" dxfId="1217" priority="609" stopIfTrue="1" operator="containsText" text="Freelance Audio">
      <formula>NOT(ISERROR(SEARCH("Freelance Audio",AG59)))</formula>
    </cfRule>
    <cfRule type="containsText" dxfId="1216" priority="610" stopIfTrue="1" operator="containsText" text="Audio">
      <formula>NOT(ISERROR(SEARCH("Audio",AG59)))</formula>
    </cfRule>
  </conditionalFormatting>
  <conditionalFormatting sqref="C69:C70 C72:C79">
    <cfRule type="containsText" dxfId="1215" priority="603" operator="containsText" text="ONE">
      <formula>NOT(ISERROR(SEARCH("ONE",C69)))</formula>
    </cfRule>
    <cfRule type="containsText" dxfId="1214" priority="604" operator="containsText" text="GEM">
      <formula>NOT(ISERROR(SEARCH("GEM",C69)))</formula>
    </cfRule>
    <cfRule type="containsText" dxfId="1213" priority="605" operator="containsText" text="ANIMAX">
      <formula>NOT(ISERROR(SEARCH("ANIMAX",C69)))</formula>
    </cfRule>
    <cfRule type="containsText" dxfId="1212" priority="606" operator="containsText" text="AXN TW">
      <formula>NOT(ISERROR(SEARCH("AXN TW",C69)))</formula>
    </cfRule>
    <cfRule type="containsText" dxfId="1211" priority="607" operator="containsText" text="AXN">
      <formula>NOT(ISERROR(SEARCH("AXN",C69)))</formula>
    </cfRule>
  </conditionalFormatting>
  <conditionalFormatting sqref="E69:E70 E72:E79">
    <cfRule type="containsText" dxfId="1210" priority="600" stopIfTrue="1" operator="containsText" text="Master">
      <formula>NOT(ISERROR(SEARCH("Master",E69)))</formula>
    </cfRule>
    <cfRule type="containsText" dxfId="1209" priority="601" stopIfTrue="1" operator="containsText" text="Freelance Audio">
      <formula>NOT(ISERROR(SEARCH("Freelance Audio",E69)))</formula>
    </cfRule>
    <cfRule type="containsText" dxfId="1208" priority="602" stopIfTrue="1" operator="containsText" text="Audio">
      <formula>NOT(ISERROR(SEARCH("Audio",E69)))</formula>
    </cfRule>
  </conditionalFormatting>
  <conditionalFormatting sqref="J69:J79">
    <cfRule type="containsText" dxfId="1207" priority="595" operator="containsText" text="ONE">
      <formula>NOT(ISERROR(SEARCH("ONE",J69)))</formula>
    </cfRule>
    <cfRule type="containsText" dxfId="1206" priority="596" operator="containsText" text="GEM">
      <formula>NOT(ISERROR(SEARCH("GEM",J69)))</formula>
    </cfRule>
    <cfRule type="containsText" dxfId="1205" priority="597" operator="containsText" text="ANIMAX">
      <formula>NOT(ISERROR(SEARCH("ANIMAX",J69)))</formula>
    </cfRule>
    <cfRule type="containsText" dxfId="1204" priority="598" operator="containsText" text="AXN TW">
      <formula>NOT(ISERROR(SEARCH("AXN TW",J69)))</formula>
    </cfRule>
    <cfRule type="containsText" dxfId="1203" priority="599" operator="containsText" text="AXN">
      <formula>NOT(ISERROR(SEARCH("AXN",J69)))</formula>
    </cfRule>
  </conditionalFormatting>
  <conditionalFormatting sqref="L69:L79">
    <cfRule type="containsText" dxfId="1202" priority="592" stopIfTrue="1" operator="containsText" text="Master">
      <formula>NOT(ISERROR(SEARCH("Master",L69)))</formula>
    </cfRule>
    <cfRule type="containsText" dxfId="1201" priority="593" stopIfTrue="1" operator="containsText" text="Freelance Audio">
      <formula>NOT(ISERROR(SEARCH("Freelance Audio",L69)))</formula>
    </cfRule>
    <cfRule type="containsText" dxfId="1200" priority="594" stopIfTrue="1" operator="containsText" text="Audio">
      <formula>NOT(ISERROR(SEARCH("Audio",L69)))</formula>
    </cfRule>
  </conditionalFormatting>
  <conditionalFormatting sqref="Q69:Q79">
    <cfRule type="containsText" dxfId="1199" priority="587" operator="containsText" text="ONE">
      <formula>NOT(ISERROR(SEARCH("ONE",Q69)))</formula>
    </cfRule>
    <cfRule type="containsText" dxfId="1198" priority="588" operator="containsText" text="GEM">
      <formula>NOT(ISERROR(SEARCH("GEM",Q69)))</formula>
    </cfRule>
    <cfRule type="containsText" dxfId="1197" priority="589" operator="containsText" text="ANIMAX">
      <formula>NOT(ISERROR(SEARCH("ANIMAX",Q69)))</formula>
    </cfRule>
    <cfRule type="containsText" dxfId="1196" priority="590" operator="containsText" text="AXN TW">
      <formula>NOT(ISERROR(SEARCH("AXN TW",Q69)))</formula>
    </cfRule>
    <cfRule type="containsText" dxfId="1195" priority="591" operator="containsText" text="AXN">
      <formula>NOT(ISERROR(SEARCH("AXN",Q69)))</formula>
    </cfRule>
  </conditionalFormatting>
  <conditionalFormatting sqref="S69:S79">
    <cfRule type="containsText" dxfId="1194" priority="584" stopIfTrue="1" operator="containsText" text="Master">
      <formula>NOT(ISERROR(SEARCH("Master",S69)))</formula>
    </cfRule>
    <cfRule type="containsText" dxfId="1193" priority="585" stopIfTrue="1" operator="containsText" text="Freelance Audio">
      <formula>NOT(ISERROR(SEARCH("Freelance Audio",S69)))</formula>
    </cfRule>
    <cfRule type="containsText" dxfId="1192" priority="586" stopIfTrue="1" operator="containsText" text="Audio">
      <formula>NOT(ISERROR(SEARCH("Audio",S69)))</formula>
    </cfRule>
  </conditionalFormatting>
  <conditionalFormatting sqref="X69:X79">
    <cfRule type="containsText" dxfId="1191" priority="579" operator="containsText" text="ONE">
      <formula>NOT(ISERROR(SEARCH("ONE",X69)))</formula>
    </cfRule>
    <cfRule type="containsText" dxfId="1190" priority="580" operator="containsText" text="GEM">
      <formula>NOT(ISERROR(SEARCH("GEM",X69)))</formula>
    </cfRule>
    <cfRule type="containsText" dxfId="1189" priority="581" operator="containsText" text="ANIMAX">
      <formula>NOT(ISERROR(SEARCH("ANIMAX",X69)))</formula>
    </cfRule>
    <cfRule type="containsText" dxfId="1188" priority="582" operator="containsText" text="AXN TW">
      <formula>NOT(ISERROR(SEARCH("AXN TW",X69)))</formula>
    </cfRule>
    <cfRule type="containsText" dxfId="1187" priority="583" operator="containsText" text="AXN">
      <formula>NOT(ISERROR(SEARCH("AXN",X69)))</formula>
    </cfRule>
  </conditionalFormatting>
  <conditionalFormatting sqref="Z69:Z79">
    <cfRule type="containsText" dxfId="1186" priority="576" stopIfTrue="1" operator="containsText" text="Master">
      <formula>NOT(ISERROR(SEARCH("Master",Z69)))</formula>
    </cfRule>
    <cfRule type="containsText" dxfId="1185" priority="577" stopIfTrue="1" operator="containsText" text="Freelance Audio">
      <formula>NOT(ISERROR(SEARCH("Freelance Audio",Z69)))</formula>
    </cfRule>
    <cfRule type="containsText" dxfId="1184" priority="578" stopIfTrue="1" operator="containsText" text="Audio">
      <formula>NOT(ISERROR(SEARCH("Audio",Z69)))</formula>
    </cfRule>
  </conditionalFormatting>
  <conditionalFormatting sqref="AE69:AE79">
    <cfRule type="containsText" dxfId="1183" priority="571" operator="containsText" text="ONE">
      <formula>NOT(ISERROR(SEARCH("ONE",AE69)))</formula>
    </cfRule>
    <cfRule type="containsText" dxfId="1182" priority="572" operator="containsText" text="GEM">
      <formula>NOT(ISERROR(SEARCH("GEM",AE69)))</formula>
    </cfRule>
    <cfRule type="containsText" dxfId="1181" priority="573" operator="containsText" text="ANIMAX">
      <formula>NOT(ISERROR(SEARCH("ANIMAX",AE69)))</formula>
    </cfRule>
    <cfRule type="containsText" dxfId="1180" priority="574" operator="containsText" text="AXN TW">
      <formula>NOT(ISERROR(SEARCH("AXN TW",AE69)))</formula>
    </cfRule>
    <cfRule type="containsText" dxfId="1179" priority="575" operator="containsText" text="AXN">
      <formula>NOT(ISERROR(SEARCH("AXN",AE69)))</formula>
    </cfRule>
  </conditionalFormatting>
  <conditionalFormatting sqref="AG69:AG79">
    <cfRule type="containsText" dxfId="1178" priority="568" stopIfTrue="1" operator="containsText" text="Master">
      <formula>NOT(ISERROR(SEARCH("Master",AG69)))</formula>
    </cfRule>
    <cfRule type="containsText" dxfId="1177" priority="569" stopIfTrue="1" operator="containsText" text="Freelance Audio">
      <formula>NOT(ISERROR(SEARCH("Freelance Audio",AG69)))</formula>
    </cfRule>
    <cfRule type="containsText" dxfId="1176" priority="570" stopIfTrue="1" operator="containsText" text="Audio">
      <formula>NOT(ISERROR(SEARCH("Audio",AG69)))</formula>
    </cfRule>
  </conditionalFormatting>
  <conditionalFormatting sqref="H20 H32 H44 H56 H68 O68 O56 O44 O32 O20 O8 V8 V20 V32 V44 V56 V68 AC68 AC56 AC44 AC32 AC20 AC8 AJ8 AJ20 AJ32 AJ44 AJ56 AJ68">
    <cfRule type="expression" dxfId="1175" priority="490">
      <formula>MONTH(H8)&lt;&gt;$AN$5</formula>
    </cfRule>
  </conditionalFormatting>
  <conditionalFormatting sqref="H8">
    <cfRule type="expression" dxfId="1174" priority="548">
      <formula>MONTH(H8)&lt;&gt;$AN$5</formula>
    </cfRule>
  </conditionalFormatting>
  <conditionalFormatting sqref="B9:H19 B8">
    <cfRule type="expression" dxfId="1173" priority="518">
      <formula>MONTH($H$8)&lt;&gt;$AN$5</formula>
    </cfRule>
  </conditionalFormatting>
  <conditionalFormatting sqref="I9:O19 I8">
    <cfRule type="expression" dxfId="1172" priority="519">
      <formula>MONTH($O$8)&lt;&gt;$AN$5</formula>
    </cfRule>
  </conditionalFormatting>
  <conditionalFormatting sqref="P9:V19 P8">
    <cfRule type="expression" dxfId="1171" priority="517">
      <formula>MONTH($V$8)&lt;&gt;$AN$5</formula>
    </cfRule>
  </conditionalFormatting>
  <conditionalFormatting sqref="AD9:AJ19 AD8">
    <cfRule type="expression" dxfId="1170" priority="515">
      <formula>MONTH($AJ$8)&lt;&gt;$AN$5</formula>
    </cfRule>
  </conditionalFormatting>
  <conditionalFormatting sqref="W9:AC19 W8">
    <cfRule type="expression" dxfId="1169" priority="516">
      <formula>MONTH($AC$8)&lt;&gt;$AN$5</formula>
    </cfRule>
  </conditionalFormatting>
  <conditionalFormatting sqref="AD69:AJ79 AD68">
    <cfRule type="expression" dxfId="1168" priority="495">
      <formula>MONTH($AJ$68)&lt;&gt;$AN$5</formula>
    </cfRule>
  </conditionalFormatting>
  <conditionalFormatting sqref="W69:AC79 W68">
    <cfRule type="expression" dxfId="1167" priority="494">
      <formula>MONTH($AC$68)&lt;&gt;$AN$5</formula>
    </cfRule>
  </conditionalFormatting>
  <conditionalFormatting sqref="P69:V79 P68">
    <cfRule type="expression" dxfId="1166" priority="493">
      <formula>MONTH($V$68)&lt;&gt;$AN$5</formula>
    </cfRule>
  </conditionalFormatting>
  <conditionalFormatting sqref="I69:O79 I68">
    <cfRule type="expression" dxfId="1165" priority="492">
      <formula>MONTH($O$68)&lt;&gt;$AN$5</formula>
    </cfRule>
  </conditionalFormatting>
  <conditionalFormatting sqref="B68 B69:H70 B73:H75 B72:G72 B77:H79 B76:G76">
    <cfRule type="expression" dxfId="1164" priority="491">
      <formula>MONTH($H$68)&lt;&gt;$AN$5</formula>
    </cfRule>
  </conditionalFormatting>
  <conditionalFormatting sqref="AJ57 AD56 AD59:AJ61 AD63:AJ64 AD66:AJ67 AG65">
    <cfRule type="expression" dxfId="1163" priority="496">
      <formula>MONTH($AJ$56)&lt;&gt;$AN$5</formula>
    </cfRule>
  </conditionalFormatting>
  <conditionalFormatting sqref="W56 W66:AC67 W57:AI57 W58:AC61">
    <cfRule type="expression" dxfId="1162" priority="497">
      <formula>MONTH($AC$56)&lt;&gt;$AN$5</formula>
    </cfRule>
  </conditionalFormatting>
  <conditionalFormatting sqref="P56 P67:V67 P57:V65">
    <cfRule type="expression" dxfId="1161" priority="498">
      <formula>MONTH($V$56)&lt;&gt;$AN$5</formula>
    </cfRule>
  </conditionalFormatting>
  <conditionalFormatting sqref="I57:O57 I56 I61:O62 I66:O67 I62:N64">
    <cfRule type="expression" dxfId="1160" priority="499">
      <formula>MONTH($O$56)&lt;&gt;$AN$5</formula>
    </cfRule>
  </conditionalFormatting>
  <conditionalFormatting sqref="B57:H57 B56 B59:H62 B65:H67 F64:H64">
    <cfRule type="expression" dxfId="1159" priority="500">
      <formula>MONTH($H$56)&lt;&gt;$AN$5</formula>
    </cfRule>
  </conditionalFormatting>
  <conditionalFormatting sqref="B20 B21:H31">
    <cfRule type="expression" dxfId="1158" priority="520">
      <formula>MONTH($H$20)&lt;&gt;$AN$5</formula>
    </cfRule>
  </conditionalFormatting>
  <conditionalFormatting sqref="AE58">
    <cfRule type="containsText" dxfId="1157" priority="485" operator="containsText" text="ONE">
      <formula>NOT(ISERROR(SEARCH("ONE",AE58)))</formula>
    </cfRule>
    <cfRule type="containsText" dxfId="1156" priority="486" operator="containsText" text="GEM">
      <formula>NOT(ISERROR(SEARCH("GEM",AE58)))</formula>
    </cfRule>
    <cfRule type="containsText" dxfId="1155" priority="487" operator="containsText" text="ANIMAX">
      <formula>NOT(ISERROR(SEARCH("ANIMAX",AE58)))</formula>
    </cfRule>
    <cfRule type="containsText" dxfId="1154" priority="488" operator="containsText" text="AXN TW">
      <formula>NOT(ISERROR(SEARCH("AXN TW",AE58)))</formula>
    </cfRule>
    <cfRule type="containsText" dxfId="1153" priority="489" operator="containsText" text="AXN">
      <formula>NOT(ISERROR(SEARCH("AXN",AE58)))</formula>
    </cfRule>
  </conditionalFormatting>
  <conditionalFormatting sqref="AG58">
    <cfRule type="containsText" dxfId="1152" priority="482" stopIfTrue="1" operator="containsText" text="Master">
      <formula>NOT(ISERROR(SEARCH("Master",AG58)))</formula>
    </cfRule>
    <cfRule type="containsText" dxfId="1151" priority="483" stopIfTrue="1" operator="containsText" text="Freelance Audio">
      <formula>NOT(ISERROR(SEARCH("Freelance Audio",AG58)))</formula>
    </cfRule>
    <cfRule type="containsText" dxfId="1150" priority="484" stopIfTrue="1" operator="containsText" text="Audio">
      <formula>NOT(ISERROR(SEARCH("Audio",AG58)))</formula>
    </cfRule>
  </conditionalFormatting>
  <conditionalFormatting sqref="AD58:AJ58">
    <cfRule type="expression" dxfId="1149" priority="480">
      <formula>MONTH($H$68)&lt;&gt;$AN$5</formula>
    </cfRule>
  </conditionalFormatting>
  <conditionalFormatting sqref="J57:J58">
    <cfRule type="containsText" dxfId="1148" priority="475" operator="containsText" text="ONE">
      <formula>NOT(ISERROR(SEARCH("ONE",J57)))</formula>
    </cfRule>
    <cfRule type="containsText" dxfId="1147" priority="476" operator="containsText" text="GEM">
      <formula>NOT(ISERROR(SEARCH("GEM",J57)))</formula>
    </cfRule>
    <cfRule type="containsText" dxfId="1146" priority="477" operator="containsText" text="ANIMAX">
      <formula>NOT(ISERROR(SEARCH("ANIMAX",J57)))</formula>
    </cfRule>
    <cfRule type="containsText" dxfId="1145" priority="478" operator="containsText" text="AXN TW">
      <formula>NOT(ISERROR(SEARCH("AXN TW",J57)))</formula>
    </cfRule>
    <cfRule type="containsText" dxfId="1144" priority="479" operator="containsText" text="AXN">
      <formula>NOT(ISERROR(SEARCH("AXN",J57)))</formula>
    </cfRule>
  </conditionalFormatting>
  <conditionalFormatting sqref="L57:L58">
    <cfRule type="containsText" dxfId="1143" priority="472" stopIfTrue="1" operator="containsText" text="Master">
      <formula>NOT(ISERROR(SEARCH("Master",L57)))</formula>
    </cfRule>
    <cfRule type="containsText" dxfId="1142" priority="473" stopIfTrue="1" operator="containsText" text="Freelance Audio">
      <formula>NOT(ISERROR(SEARCH("Freelance Audio",L57)))</formula>
    </cfRule>
    <cfRule type="containsText" dxfId="1141" priority="474" stopIfTrue="1" operator="containsText" text="Audio">
      <formula>NOT(ISERROR(SEARCH("Audio",L57)))</formula>
    </cfRule>
  </conditionalFormatting>
  <conditionalFormatting sqref="I58:O58">
    <cfRule type="expression" dxfId="1140" priority="470">
      <formula>MONTH($V$56)&lt;&gt;$AN$5</formula>
    </cfRule>
  </conditionalFormatting>
  <conditionalFormatting sqref="O62:O64">
    <cfRule type="expression" dxfId="1139" priority="466">
      <formula>MONTH($V$56)&lt;&gt;$AN$5</formula>
    </cfRule>
  </conditionalFormatting>
  <conditionalFormatting sqref="C57:C58">
    <cfRule type="containsText" dxfId="1138" priority="461" operator="containsText" text="ONE">
      <formula>NOT(ISERROR(SEARCH("ONE",C57)))</formula>
    </cfRule>
    <cfRule type="containsText" dxfId="1137" priority="462" operator="containsText" text="GEM">
      <formula>NOT(ISERROR(SEARCH("GEM",C57)))</formula>
    </cfRule>
    <cfRule type="containsText" dxfId="1136" priority="463" operator="containsText" text="ANIMAX">
      <formula>NOT(ISERROR(SEARCH("ANIMAX",C57)))</formula>
    </cfRule>
    <cfRule type="containsText" dxfId="1135" priority="464" operator="containsText" text="AXN TW">
      <formula>NOT(ISERROR(SEARCH("AXN TW",C57)))</formula>
    </cfRule>
    <cfRule type="containsText" dxfId="1134" priority="465" operator="containsText" text="AXN">
      <formula>NOT(ISERROR(SEARCH("AXN",C57)))</formula>
    </cfRule>
  </conditionalFormatting>
  <conditionalFormatting sqref="E58">
    <cfRule type="containsText" dxfId="1133" priority="458" stopIfTrue="1" operator="containsText" text="Master">
      <formula>NOT(ISERROR(SEARCH("Master",E58)))</formula>
    </cfRule>
    <cfRule type="containsText" dxfId="1132" priority="459" stopIfTrue="1" operator="containsText" text="Freelance Audio">
      <formula>NOT(ISERROR(SEARCH("Freelance Audio",E58)))</formula>
    </cfRule>
    <cfRule type="containsText" dxfId="1131" priority="460" stopIfTrue="1" operator="containsText" text="Audio">
      <formula>NOT(ISERROR(SEARCH("Audio",E58)))</formula>
    </cfRule>
  </conditionalFormatting>
  <conditionalFormatting sqref="B58:G58">
    <cfRule type="expression" dxfId="1130" priority="456">
      <formula>MONTH($O$56)&lt;&gt;$AN$5</formula>
    </cfRule>
  </conditionalFormatting>
  <conditionalFormatting sqref="H57:H58">
    <cfRule type="expression" dxfId="1129" priority="454">
      <formula>MONTH($V$56)&lt;&gt;$AN$5</formula>
    </cfRule>
  </conditionalFormatting>
  <conditionalFormatting sqref="X57:X58">
    <cfRule type="containsText" dxfId="1128" priority="449" operator="containsText" text="ONE">
      <formula>NOT(ISERROR(SEARCH("ONE",X57)))</formula>
    </cfRule>
    <cfRule type="containsText" dxfId="1127" priority="450" operator="containsText" text="GEM">
      <formula>NOT(ISERROR(SEARCH("GEM",X57)))</formula>
    </cfRule>
    <cfRule type="containsText" dxfId="1126" priority="451" operator="containsText" text="ANIMAX">
      <formula>NOT(ISERROR(SEARCH("ANIMAX",X57)))</formula>
    </cfRule>
    <cfRule type="containsText" dxfId="1125" priority="452" operator="containsText" text="AXN TW">
      <formula>NOT(ISERROR(SEARCH("AXN TW",X57)))</formula>
    </cfRule>
    <cfRule type="containsText" dxfId="1124" priority="453" operator="containsText" text="AXN">
      <formula>NOT(ISERROR(SEARCH("AXN",X57)))</formula>
    </cfRule>
  </conditionalFormatting>
  <conditionalFormatting sqref="Z57:Z58">
    <cfRule type="containsText" dxfId="1123" priority="446" stopIfTrue="1" operator="containsText" text="Master">
      <formula>NOT(ISERROR(SEARCH("Master",Z57)))</formula>
    </cfRule>
    <cfRule type="containsText" dxfId="1122" priority="447" stopIfTrue="1" operator="containsText" text="Freelance Audio">
      <formula>NOT(ISERROR(SEARCH("Freelance Audio",Z57)))</formula>
    </cfRule>
    <cfRule type="containsText" dxfId="1121" priority="448" stopIfTrue="1" operator="containsText" text="Audio">
      <formula>NOT(ISERROR(SEARCH("Audio",Z57)))</formula>
    </cfRule>
  </conditionalFormatting>
  <conditionalFormatting sqref="W58:AB58">
    <cfRule type="expression" dxfId="1120" priority="444">
      <formula>MONTH($O$56)&lt;&gt;$AN$5</formula>
    </cfRule>
  </conditionalFormatting>
  <conditionalFormatting sqref="AC57:AC58">
    <cfRule type="expression" dxfId="1119" priority="442">
      <formula>MONTH($V$56)&lt;&gt;$AN$5</formula>
    </cfRule>
  </conditionalFormatting>
  <conditionalFormatting sqref="C33:C34">
    <cfRule type="containsText" dxfId="1118" priority="437" operator="containsText" text="ONE">
      <formula>NOT(ISERROR(SEARCH("ONE",C33)))</formula>
    </cfRule>
    <cfRule type="containsText" dxfId="1117" priority="438" operator="containsText" text="GEM">
      <formula>NOT(ISERROR(SEARCH("GEM",C33)))</formula>
    </cfRule>
    <cfRule type="containsText" dxfId="1116" priority="439" operator="containsText" text="ANIMAX">
      <formula>NOT(ISERROR(SEARCH("ANIMAX",C33)))</formula>
    </cfRule>
    <cfRule type="containsText" dxfId="1115" priority="440" operator="containsText" text="AXN TW">
      <formula>NOT(ISERROR(SEARCH("AXN TW",C33)))</formula>
    </cfRule>
    <cfRule type="containsText" dxfId="1114" priority="441" operator="containsText" text="AXN">
      <formula>NOT(ISERROR(SEARCH("AXN",C33)))</formula>
    </cfRule>
  </conditionalFormatting>
  <conditionalFormatting sqref="E33:E34">
    <cfRule type="containsText" dxfId="1113" priority="434" stopIfTrue="1" operator="containsText" text="Master">
      <formula>NOT(ISERROR(SEARCH("Master",E33)))</formula>
    </cfRule>
    <cfRule type="containsText" dxfId="1112" priority="435" stopIfTrue="1" operator="containsText" text="Freelance Audio">
      <formula>NOT(ISERROR(SEARCH("Freelance Audio",E33)))</formula>
    </cfRule>
    <cfRule type="containsText" dxfId="1111" priority="436" stopIfTrue="1" operator="containsText" text="Audio">
      <formula>NOT(ISERROR(SEARCH("Audio",E33)))</formula>
    </cfRule>
  </conditionalFormatting>
  <conditionalFormatting sqref="B33:H34">
    <cfRule type="expression" dxfId="1110" priority="432">
      <formula>MONTH($H$20)&lt;&gt;$AN$5</formula>
    </cfRule>
  </conditionalFormatting>
  <conditionalFormatting sqref="X38">
    <cfRule type="containsText" dxfId="1109" priority="427" operator="containsText" text="ONE">
      <formula>NOT(ISERROR(SEARCH("ONE",X38)))</formula>
    </cfRule>
    <cfRule type="containsText" dxfId="1108" priority="428" operator="containsText" text="GEM">
      <formula>NOT(ISERROR(SEARCH("GEM",X38)))</formula>
    </cfRule>
    <cfRule type="containsText" dxfId="1107" priority="429" operator="containsText" text="ANIMAX">
      <formula>NOT(ISERROR(SEARCH("ANIMAX",X38)))</formula>
    </cfRule>
    <cfRule type="containsText" dxfId="1106" priority="430" operator="containsText" text="AXN TW">
      <formula>NOT(ISERROR(SEARCH("AXN TW",X38)))</formula>
    </cfRule>
    <cfRule type="containsText" dxfId="1105" priority="431" operator="containsText" text="AXN">
      <formula>NOT(ISERROR(SEARCH("AXN",X38)))</formula>
    </cfRule>
  </conditionalFormatting>
  <conditionalFormatting sqref="Z38">
    <cfRule type="containsText" dxfId="1104" priority="424" stopIfTrue="1" operator="containsText" text="Master">
      <formula>NOT(ISERROR(SEARCH("Master",Z38)))</formula>
    </cfRule>
    <cfRule type="containsText" dxfId="1103" priority="425" stopIfTrue="1" operator="containsText" text="Freelance Audio">
      <formula>NOT(ISERROR(SEARCH("Freelance Audio",Z38)))</formula>
    </cfRule>
    <cfRule type="containsText" dxfId="1102" priority="426" stopIfTrue="1" operator="containsText" text="Audio">
      <formula>NOT(ISERROR(SEARCH("Audio",Z38)))</formula>
    </cfRule>
  </conditionalFormatting>
  <conditionalFormatting sqref="X50">
    <cfRule type="containsText" dxfId="1101" priority="418" operator="containsText" text="ONE">
      <formula>NOT(ISERROR(SEARCH("ONE",X50)))</formula>
    </cfRule>
    <cfRule type="containsText" dxfId="1100" priority="419" operator="containsText" text="GEM">
      <formula>NOT(ISERROR(SEARCH("GEM",X50)))</formula>
    </cfRule>
    <cfRule type="containsText" dxfId="1099" priority="420" operator="containsText" text="ANIMAX">
      <formula>NOT(ISERROR(SEARCH("ANIMAX",X50)))</formula>
    </cfRule>
    <cfRule type="containsText" dxfId="1098" priority="421" operator="containsText" text="AXN TW">
      <formula>NOT(ISERROR(SEARCH("AXN TW",X50)))</formula>
    </cfRule>
    <cfRule type="containsText" dxfId="1097" priority="422" operator="containsText" text="AXN">
      <formula>NOT(ISERROR(SEARCH("AXN",X50)))</formula>
    </cfRule>
  </conditionalFormatting>
  <conditionalFormatting sqref="Z50">
    <cfRule type="containsText" dxfId="1096" priority="415" stopIfTrue="1" operator="containsText" text="Master">
      <formula>NOT(ISERROR(SEARCH("Master",Z50)))</formula>
    </cfRule>
    <cfRule type="containsText" dxfId="1095" priority="416" stopIfTrue="1" operator="containsText" text="Freelance Audio">
      <formula>NOT(ISERROR(SEARCH("Freelance Audio",Z50)))</formula>
    </cfRule>
    <cfRule type="containsText" dxfId="1094" priority="417" stopIfTrue="1" operator="containsText" text="Audio">
      <formula>NOT(ISERROR(SEARCH("Audio",Z50)))</formula>
    </cfRule>
  </conditionalFormatting>
  <conditionalFormatting sqref="X62">
    <cfRule type="containsText" dxfId="1093" priority="409" operator="containsText" text="ONE">
      <formula>NOT(ISERROR(SEARCH("ONE",X62)))</formula>
    </cfRule>
    <cfRule type="containsText" dxfId="1092" priority="410" operator="containsText" text="GEM">
      <formula>NOT(ISERROR(SEARCH("GEM",X62)))</formula>
    </cfRule>
    <cfRule type="containsText" dxfId="1091" priority="411" operator="containsText" text="ANIMAX">
      <formula>NOT(ISERROR(SEARCH("ANIMAX",X62)))</formula>
    </cfRule>
    <cfRule type="containsText" dxfId="1090" priority="412" operator="containsText" text="AXN TW">
      <formula>NOT(ISERROR(SEARCH("AXN TW",X62)))</formula>
    </cfRule>
    <cfRule type="containsText" dxfId="1089" priority="413" operator="containsText" text="AXN">
      <formula>NOT(ISERROR(SEARCH("AXN",X62)))</formula>
    </cfRule>
  </conditionalFormatting>
  <conditionalFormatting sqref="Z62">
    <cfRule type="containsText" dxfId="1088" priority="406" stopIfTrue="1" operator="containsText" text="Master">
      <formula>NOT(ISERROR(SEARCH("Master",Z62)))</formula>
    </cfRule>
    <cfRule type="containsText" dxfId="1087" priority="407" stopIfTrue="1" operator="containsText" text="Freelance Audio">
      <formula>NOT(ISERROR(SEARCH("Freelance Audio",Z62)))</formula>
    </cfRule>
    <cfRule type="containsText" dxfId="1086" priority="408" stopIfTrue="1" operator="containsText" text="Audio">
      <formula>NOT(ISERROR(SEARCH("Audio",Z62)))</formula>
    </cfRule>
  </conditionalFormatting>
  <conditionalFormatting sqref="C45:C46">
    <cfRule type="containsText" dxfId="1085" priority="400" operator="containsText" text="ONE">
      <formula>NOT(ISERROR(SEARCH("ONE",C45)))</formula>
    </cfRule>
    <cfRule type="containsText" dxfId="1084" priority="401" operator="containsText" text="GEM">
      <formula>NOT(ISERROR(SEARCH("GEM",C45)))</formula>
    </cfRule>
    <cfRule type="containsText" dxfId="1083" priority="402" operator="containsText" text="ANIMAX">
      <formula>NOT(ISERROR(SEARCH("ANIMAX",C45)))</formula>
    </cfRule>
    <cfRule type="containsText" dxfId="1082" priority="403" operator="containsText" text="AXN TW">
      <formula>NOT(ISERROR(SEARCH("AXN TW",C45)))</formula>
    </cfRule>
    <cfRule type="containsText" dxfId="1081" priority="404" operator="containsText" text="AXN">
      <formula>NOT(ISERROR(SEARCH("AXN",C45)))</formula>
    </cfRule>
  </conditionalFormatting>
  <conditionalFormatting sqref="E45:E47">
    <cfRule type="containsText" dxfId="1080" priority="397" stopIfTrue="1" operator="containsText" text="Master">
      <formula>NOT(ISERROR(SEARCH("Master",E45)))</formula>
    </cfRule>
    <cfRule type="containsText" dxfId="1079" priority="398" stopIfTrue="1" operator="containsText" text="Freelance Audio">
      <formula>NOT(ISERROR(SEARCH("Freelance Audio",E45)))</formula>
    </cfRule>
    <cfRule type="containsText" dxfId="1078" priority="399" stopIfTrue="1" operator="containsText" text="Audio">
      <formula>NOT(ISERROR(SEARCH("Audio",E45)))</formula>
    </cfRule>
  </conditionalFormatting>
  <conditionalFormatting sqref="B45:H46 E47">
    <cfRule type="expression" dxfId="1077" priority="395">
      <formula>MONTH($H$20)&lt;&gt;$AN$5</formula>
    </cfRule>
  </conditionalFormatting>
  <conditionalFormatting sqref="J58:J60">
    <cfRule type="containsText" dxfId="1076" priority="383" operator="containsText" text="ONE">
      <formula>NOT(ISERROR(SEARCH("ONE",J58)))</formula>
    </cfRule>
    <cfRule type="containsText" dxfId="1075" priority="384" operator="containsText" text="GEM">
      <formula>NOT(ISERROR(SEARCH("GEM",J58)))</formula>
    </cfRule>
    <cfRule type="containsText" dxfId="1074" priority="385" operator="containsText" text="ANIMAX">
      <formula>NOT(ISERROR(SEARCH("ANIMAX",J58)))</formula>
    </cfRule>
    <cfRule type="containsText" dxfId="1073" priority="386" operator="containsText" text="AXN TW">
      <formula>NOT(ISERROR(SEARCH("AXN TW",J58)))</formula>
    </cfRule>
    <cfRule type="containsText" dxfId="1072" priority="387" operator="containsText" text="AXN">
      <formula>NOT(ISERROR(SEARCH("AXN",J58)))</formula>
    </cfRule>
  </conditionalFormatting>
  <conditionalFormatting sqref="L58:L60">
    <cfRule type="containsText" dxfId="1071" priority="380" stopIfTrue="1" operator="containsText" text="Master">
      <formula>NOT(ISERROR(SEARCH("Master",L58)))</formula>
    </cfRule>
    <cfRule type="containsText" dxfId="1070" priority="381" stopIfTrue="1" operator="containsText" text="Freelance Audio">
      <formula>NOT(ISERROR(SEARCH("Freelance Audio",L58)))</formula>
    </cfRule>
    <cfRule type="containsText" dxfId="1069" priority="382" stopIfTrue="1" operator="containsText" text="Audio">
      <formula>NOT(ISERROR(SEARCH("Audio",L58)))</formula>
    </cfRule>
  </conditionalFormatting>
  <conditionalFormatting sqref="I59:O59">
    <cfRule type="expression" dxfId="1068" priority="378">
      <formula>MONTH($H$56)&lt;&gt;$AN$5</formula>
    </cfRule>
  </conditionalFormatting>
  <conditionalFormatting sqref="X39:X40">
    <cfRule type="containsText" dxfId="1067" priority="373" operator="containsText" text="ONE">
      <formula>NOT(ISERROR(SEARCH("ONE",X39)))</formula>
    </cfRule>
    <cfRule type="containsText" dxfId="1066" priority="374" operator="containsText" text="GEM">
      <formula>NOT(ISERROR(SEARCH("GEM",X39)))</formula>
    </cfRule>
    <cfRule type="containsText" dxfId="1065" priority="375" operator="containsText" text="ANIMAX">
      <formula>NOT(ISERROR(SEARCH("ANIMAX",X39)))</formula>
    </cfRule>
    <cfRule type="containsText" dxfId="1064" priority="376" operator="containsText" text="AXN TW">
      <formula>NOT(ISERROR(SEARCH("AXN TW",X39)))</formula>
    </cfRule>
    <cfRule type="containsText" dxfId="1063" priority="377" operator="containsText" text="AXN">
      <formula>NOT(ISERROR(SEARCH("AXN",X39)))</formula>
    </cfRule>
  </conditionalFormatting>
  <conditionalFormatting sqref="C71">
    <cfRule type="containsText" dxfId="1062" priority="366" operator="containsText" text="ONE">
      <formula>NOT(ISERROR(SEARCH("ONE",C71)))</formula>
    </cfRule>
    <cfRule type="containsText" dxfId="1061" priority="367" operator="containsText" text="GEM">
      <formula>NOT(ISERROR(SEARCH("GEM",C71)))</formula>
    </cfRule>
    <cfRule type="containsText" dxfId="1060" priority="368" operator="containsText" text="ANIMAX">
      <formula>NOT(ISERROR(SEARCH("ANIMAX",C71)))</formula>
    </cfRule>
    <cfRule type="containsText" dxfId="1059" priority="369" operator="containsText" text="AXN TW">
      <formula>NOT(ISERROR(SEARCH("AXN TW",C71)))</formula>
    </cfRule>
    <cfRule type="containsText" dxfId="1058" priority="370" operator="containsText" text="AXN">
      <formula>NOT(ISERROR(SEARCH("AXN",C71)))</formula>
    </cfRule>
  </conditionalFormatting>
  <conditionalFormatting sqref="E71">
    <cfRule type="containsText" dxfId="1057" priority="363" stopIfTrue="1" operator="containsText" text="Master">
      <formula>NOT(ISERROR(SEARCH("Master",E71)))</formula>
    </cfRule>
    <cfRule type="containsText" dxfId="1056" priority="364" stopIfTrue="1" operator="containsText" text="Freelance Audio">
      <formula>NOT(ISERROR(SEARCH("Freelance Audio",E71)))</formula>
    </cfRule>
    <cfRule type="containsText" dxfId="1055" priority="365" stopIfTrue="1" operator="containsText" text="Audio">
      <formula>NOT(ISERROR(SEARCH("Audio",E71)))</formula>
    </cfRule>
  </conditionalFormatting>
  <conditionalFormatting sqref="B71:H71">
    <cfRule type="expression" dxfId="1054" priority="361">
      <formula>MONTH($H$56)&lt;&gt;$AN$5</formula>
    </cfRule>
  </conditionalFormatting>
  <conditionalFormatting sqref="X63:X64">
    <cfRule type="containsText" dxfId="1053" priority="356" operator="containsText" text="ONE">
      <formula>NOT(ISERROR(SEARCH("ONE",X63)))</formula>
    </cfRule>
    <cfRule type="containsText" dxfId="1052" priority="357" operator="containsText" text="GEM">
      <formula>NOT(ISERROR(SEARCH("GEM",X63)))</formula>
    </cfRule>
    <cfRule type="containsText" dxfId="1051" priority="358" operator="containsText" text="ANIMAX">
      <formula>NOT(ISERROR(SEARCH("ANIMAX",X63)))</formula>
    </cfRule>
    <cfRule type="containsText" dxfId="1050" priority="359" operator="containsText" text="AXN TW">
      <formula>NOT(ISERROR(SEARCH("AXN TW",X63)))</formula>
    </cfRule>
    <cfRule type="containsText" dxfId="1049" priority="360" operator="containsText" text="AXN">
      <formula>NOT(ISERROR(SEARCH("AXN",X63)))</formula>
    </cfRule>
  </conditionalFormatting>
  <conditionalFormatting sqref="Z63:Z64">
    <cfRule type="containsText" dxfId="1048" priority="353" stopIfTrue="1" operator="containsText" text="Master">
      <formula>NOT(ISERROR(SEARCH("Master",Z63)))</formula>
    </cfRule>
    <cfRule type="containsText" dxfId="1047" priority="354" stopIfTrue="1" operator="containsText" text="Freelance Audio">
      <formula>NOT(ISERROR(SEARCH("Freelance Audio",Z63)))</formula>
    </cfRule>
    <cfRule type="containsText" dxfId="1046" priority="355" stopIfTrue="1" operator="containsText" text="Audio">
      <formula>NOT(ISERROR(SEARCH("Audio",Z63)))</formula>
    </cfRule>
  </conditionalFormatting>
  <conditionalFormatting sqref="W63:AC63">
    <cfRule type="expression" dxfId="1045" priority="351">
      <formula>MONTH($V$56)&lt;&gt;$AN$5</formula>
    </cfRule>
  </conditionalFormatting>
  <conditionalFormatting sqref="J46">
    <cfRule type="containsText" dxfId="1044" priority="346" operator="containsText" text="ONE">
      <formula>NOT(ISERROR(SEARCH("ONE",J46)))</formula>
    </cfRule>
    <cfRule type="containsText" dxfId="1043" priority="347" operator="containsText" text="GEM">
      <formula>NOT(ISERROR(SEARCH("GEM",J46)))</formula>
    </cfRule>
    <cfRule type="containsText" dxfId="1042" priority="348" operator="containsText" text="ANIMAX">
      <formula>NOT(ISERROR(SEARCH("ANIMAX",J46)))</formula>
    </cfRule>
    <cfRule type="containsText" dxfId="1041" priority="349" operator="containsText" text="AXN TW">
      <formula>NOT(ISERROR(SEARCH("AXN TW",J46)))</formula>
    </cfRule>
    <cfRule type="containsText" dxfId="1040" priority="350" operator="containsText" text="AXN">
      <formula>NOT(ISERROR(SEARCH("AXN",J46)))</formula>
    </cfRule>
  </conditionalFormatting>
  <conditionalFormatting sqref="L46:L47">
    <cfRule type="containsText" dxfId="1039" priority="343" stopIfTrue="1" operator="containsText" text="Master">
      <formula>NOT(ISERROR(SEARCH("Master",L46)))</formula>
    </cfRule>
    <cfRule type="containsText" dxfId="1038" priority="344" stopIfTrue="1" operator="containsText" text="Freelance Audio">
      <formula>NOT(ISERROR(SEARCH("Freelance Audio",L46)))</formula>
    </cfRule>
    <cfRule type="containsText" dxfId="1037" priority="345" stopIfTrue="1" operator="containsText" text="Audio">
      <formula>NOT(ISERROR(SEARCH("Audio",L46)))</formula>
    </cfRule>
  </conditionalFormatting>
  <conditionalFormatting sqref="I46:O46">
    <cfRule type="expression" dxfId="1036" priority="341">
      <formula>MONTH($H$20)&lt;&gt;$AN$5</formula>
    </cfRule>
  </conditionalFormatting>
  <conditionalFormatting sqref="W64:AC64">
    <cfRule type="expression" dxfId="1035" priority="337">
      <formula>MONTH($V$56)&lt;&gt;$AN$5</formula>
    </cfRule>
  </conditionalFormatting>
  <conditionalFormatting sqref="Q45">
    <cfRule type="containsText" dxfId="1034" priority="332" operator="containsText" text="ONE">
      <formula>NOT(ISERROR(SEARCH("ONE",Q45)))</formula>
    </cfRule>
    <cfRule type="containsText" dxfId="1033" priority="333" operator="containsText" text="GEM">
      <formula>NOT(ISERROR(SEARCH("GEM",Q45)))</formula>
    </cfRule>
    <cfRule type="containsText" dxfId="1032" priority="334" operator="containsText" text="ANIMAX">
      <formula>NOT(ISERROR(SEARCH("ANIMAX",Q45)))</formula>
    </cfRule>
    <cfRule type="containsText" dxfId="1031" priority="335" operator="containsText" text="AXN TW">
      <formula>NOT(ISERROR(SEARCH("AXN TW",Q45)))</formula>
    </cfRule>
    <cfRule type="containsText" dxfId="1030" priority="336" operator="containsText" text="AXN">
      <formula>NOT(ISERROR(SEARCH("AXN",Q45)))</formula>
    </cfRule>
  </conditionalFormatting>
  <conditionalFormatting sqref="S45">
    <cfRule type="containsText" dxfId="1029" priority="329" stopIfTrue="1" operator="containsText" text="Master">
      <formula>NOT(ISERROR(SEARCH("Master",S45)))</formula>
    </cfRule>
    <cfRule type="containsText" dxfId="1028" priority="330" stopIfTrue="1" operator="containsText" text="Freelance Audio">
      <formula>NOT(ISERROR(SEARCH("Freelance Audio",S45)))</formula>
    </cfRule>
    <cfRule type="containsText" dxfId="1027" priority="331" stopIfTrue="1" operator="containsText" text="Audio">
      <formula>NOT(ISERROR(SEARCH("Audio",S45)))</formula>
    </cfRule>
  </conditionalFormatting>
  <conditionalFormatting sqref="Z51">
    <cfRule type="containsText" dxfId="1026" priority="326" stopIfTrue="1" operator="containsText" text="Master">
      <formula>NOT(ISERROR(SEARCH("Master",Z51)))</formula>
    </cfRule>
    <cfRule type="containsText" dxfId="1025" priority="327" stopIfTrue="1" operator="containsText" text="Freelance Audio">
      <formula>NOT(ISERROR(SEARCH("Freelance Audio",Z51)))</formula>
    </cfRule>
    <cfRule type="containsText" dxfId="1024" priority="328" stopIfTrue="1" operator="containsText" text="Audio">
      <formula>NOT(ISERROR(SEARCH("Audio",Z51)))</formula>
    </cfRule>
  </conditionalFormatting>
  <conditionalFormatting sqref="X51">
    <cfRule type="containsText" dxfId="1023" priority="320" operator="containsText" text="ONE">
      <formula>NOT(ISERROR(SEARCH("ONE",X51)))</formula>
    </cfRule>
    <cfRule type="containsText" dxfId="1022" priority="321" operator="containsText" text="GEM">
      <formula>NOT(ISERROR(SEARCH("GEM",X51)))</formula>
    </cfRule>
    <cfRule type="containsText" dxfId="1021" priority="322" operator="containsText" text="ANIMAX">
      <formula>NOT(ISERROR(SEARCH("ANIMAX",X51)))</formula>
    </cfRule>
    <cfRule type="containsText" dxfId="1020" priority="323" operator="containsText" text="AXN TW">
      <formula>NOT(ISERROR(SEARCH("AXN TW",X51)))</formula>
    </cfRule>
    <cfRule type="containsText" dxfId="1019" priority="324" operator="containsText" text="AXN">
      <formula>NOT(ISERROR(SEARCH("AXN",X51)))</formula>
    </cfRule>
  </conditionalFormatting>
  <conditionalFormatting sqref="J45">
    <cfRule type="containsText" dxfId="1018" priority="313" operator="containsText" text="ONE">
      <formula>NOT(ISERROR(SEARCH("ONE",J45)))</formula>
    </cfRule>
    <cfRule type="containsText" dxfId="1017" priority="314" operator="containsText" text="GEM">
      <formula>NOT(ISERROR(SEARCH("GEM",J45)))</formula>
    </cfRule>
    <cfRule type="containsText" dxfId="1016" priority="315" operator="containsText" text="ANIMAX">
      <formula>NOT(ISERROR(SEARCH("ANIMAX",J45)))</formula>
    </cfRule>
    <cfRule type="containsText" dxfId="1015" priority="316" operator="containsText" text="AXN TW">
      <formula>NOT(ISERROR(SEARCH("AXN TW",J45)))</formula>
    </cfRule>
    <cfRule type="containsText" dxfId="1014" priority="317" operator="containsText" text="AXN">
      <formula>NOT(ISERROR(SEARCH("AXN",J45)))</formula>
    </cfRule>
  </conditionalFormatting>
  <conditionalFormatting sqref="L45">
    <cfRule type="containsText" dxfId="1013" priority="310" stopIfTrue="1" operator="containsText" text="Master">
      <formula>NOT(ISERROR(SEARCH("Master",L45)))</formula>
    </cfRule>
    <cfRule type="containsText" dxfId="1012" priority="311" stopIfTrue="1" operator="containsText" text="Freelance Audio">
      <formula>NOT(ISERROR(SEARCH("Freelance Audio",L45)))</formula>
    </cfRule>
    <cfRule type="containsText" dxfId="1011" priority="312" stopIfTrue="1" operator="containsText" text="Audio">
      <formula>NOT(ISERROR(SEARCH("Audio",L45)))</formula>
    </cfRule>
  </conditionalFormatting>
  <conditionalFormatting sqref="I45:O45">
    <cfRule type="expression" dxfId="1010" priority="308">
      <formula>MONTH($H$20)&lt;&gt;$AN$5</formula>
    </cfRule>
  </conditionalFormatting>
  <conditionalFormatting sqref="X52">
    <cfRule type="containsText" dxfId="1009" priority="303" operator="containsText" text="ONE">
      <formula>NOT(ISERROR(SEARCH("ONE",X52)))</formula>
    </cfRule>
    <cfRule type="containsText" dxfId="1008" priority="304" operator="containsText" text="GEM">
      <formula>NOT(ISERROR(SEARCH("GEM",X52)))</formula>
    </cfRule>
    <cfRule type="containsText" dxfId="1007" priority="305" operator="containsText" text="ANIMAX">
      <formula>NOT(ISERROR(SEARCH("ANIMAX",X52)))</formula>
    </cfRule>
    <cfRule type="containsText" dxfId="1006" priority="306" operator="containsText" text="AXN TW">
      <formula>NOT(ISERROR(SEARCH("AXN TW",X52)))</formula>
    </cfRule>
    <cfRule type="containsText" dxfId="1005" priority="307" operator="containsText" text="AXN">
      <formula>NOT(ISERROR(SEARCH("AXN",X52)))</formula>
    </cfRule>
  </conditionalFormatting>
  <conditionalFormatting sqref="Z52">
    <cfRule type="containsText" dxfId="1004" priority="300" stopIfTrue="1" operator="containsText" text="Master">
      <formula>NOT(ISERROR(SEARCH("Master",Z52)))</formula>
    </cfRule>
    <cfRule type="containsText" dxfId="1003" priority="301" stopIfTrue="1" operator="containsText" text="Freelance Audio">
      <formula>NOT(ISERROR(SEARCH("Freelance Audio",Z52)))</formula>
    </cfRule>
    <cfRule type="containsText" dxfId="1002" priority="302" stopIfTrue="1" operator="containsText" text="Audio">
      <formula>NOT(ISERROR(SEARCH("Audio",Z52)))</formula>
    </cfRule>
  </conditionalFormatting>
  <conditionalFormatting sqref="X27">
    <cfRule type="containsText" dxfId="1001" priority="294" operator="containsText" text="ONE">
      <formula>NOT(ISERROR(SEARCH("ONE",X27)))</formula>
    </cfRule>
    <cfRule type="containsText" dxfId="1000" priority="295" operator="containsText" text="GEM">
      <formula>NOT(ISERROR(SEARCH("GEM",X27)))</formula>
    </cfRule>
    <cfRule type="containsText" dxfId="999" priority="296" operator="containsText" text="ANIMAX">
      <formula>NOT(ISERROR(SEARCH("ANIMAX",X27)))</formula>
    </cfRule>
    <cfRule type="containsText" dxfId="998" priority="297" operator="containsText" text="AXN TW">
      <formula>NOT(ISERROR(SEARCH("AXN TW",X27)))</formula>
    </cfRule>
    <cfRule type="containsText" dxfId="997" priority="298" operator="containsText" text="AXN">
      <formula>NOT(ISERROR(SEARCH("AXN",X27)))</formula>
    </cfRule>
  </conditionalFormatting>
  <conditionalFormatting sqref="Z27">
    <cfRule type="containsText" dxfId="996" priority="291" stopIfTrue="1" operator="containsText" text="Master">
      <formula>NOT(ISERROR(SEARCH("Master",Z27)))</formula>
    </cfRule>
    <cfRule type="containsText" dxfId="995" priority="292" stopIfTrue="1" operator="containsText" text="Freelance Audio">
      <formula>NOT(ISERROR(SEARCH("Freelance Audio",Z27)))</formula>
    </cfRule>
    <cfRule type="containsText" dxfId="994" priority="293" stopIfTrue="1" operator="containsText" text="Audio">
      <formula>NOT(ISERROR(SEARCH("Audio",Z27)))</formula>
    </cfRule>
  </conditionalFormatting>
  <conditionalFormatting sqref="AE26">
    <cfRule type="containsText" dxfId="993" priority="285" operator="containsText" text="ONE">
      <formula>NOT(ISERROR(SEARCH("ONE",AE26)))</formula>
    </cfRule>
    <cfRule type="containsText" dxfId="992" priority="286" operator="containsText" text="GEM">
      <formula>NOT(ISERROR(SEARCH("GEM",AE26)))</formula>
    </cfRule>
    <cfRule type="containsText" dxfId="991" priority="287" operator="containsText" text="ANIMAX">
      <formula>NOT(ISERROR(SEARCH("ANIMAX",AE26)))</formula>
    </cfRule>
    <cfRule type="containsText" dxfId="990" priority="288" operator="containsText" text="AXN TW">
      <formula>NOT(ISERROR(SEARCH("AXN TW",AE26)))</formula>
    </cfRule>
    <cfRule type="containsText" dxfId="989" priority="289" operator="containsText" text="AXN">
      <formula>NOT(ISERROR(SEARCH("AXN",AE26)))</formula>
    </cfRule>
  </conditionalFormatting>
  <conditionalFormatting sqref="AG26">
    <cfRule type="containsText" dxfId="988" priority="282" stopIfTrue="1" operator="containsText" text="Master">
      <formula>NOT(ISERROR(SEARCH("Master",AG26)))</formula>
    </cfRule>
    <cfRule type="containsText" dxfId="987" priority="283" stopIfTrue="1" operator="containsText" text="Freelance Audio">
      <formula>NOT(ISERROR(SEARCH("Freelance Audio",AG26)))</formula>
    </cfRule>
    <cfRule type="containsText" dxfId="986" priority="284" stopIfTrue="1" operator="containsText" text="Audio">
      <formula>NOT(ISERROR(SEARCH("Audio",AG26)))</formula>
    </cfRule>
  </conditionalFormatting>
  <conditionalFormatting sqref="AE27">
    <cfRule type="containsText" dxfId="985" priority="276" operator="containsText" text="ONE">
      <formula>NOT(ISERROR(SEARCH("ONE",AE27)))</formula>
    </cfRule>
    <cfRule type="containsText" dxfId="984" priority="277" operator="containsText" text="GEM">
      <formula>NOT(ISERROR(SEARCH("GEM",AE27)))</formula>
    </cfRule>
    <cfRule type="containsText" dxfId="983" priority="278" operator="containsText" text="ANIMAX">
      <formula>NOT(ISERROR(SEARCH("ANIMAX",AE27)))</formula>
    </cfRule>
    <cfRule type="containsText" dxfId="982" priority="279" operator="containsText" text="AXN TW">
      <formula>NOT(ISERROR(SEARCH("AXN TW",AE27)))</formula>
    </cfRule>
    <cfRule type="containsText" dxfId="981" priority="280" operator="containsText" text="AXN">
      <formula>NOT(ISERROR(SEARCH("AXN",AE27)))</formula>
    </cfRule>
  </conditionalFormatting>
  <conditionalFormatting sqref="AG27">
    <cfRule type="containsText" dxfId="980" priority="273" stopIfTrue="1" operator="containsText" text="Master">
      <formula>NOT(ISERROR(SEARCH("Master",AG27)))</formula>
    </cfRule>
    <cfRule type="containsText" dxfId="979" priority="274" stopIfTrue="1" operator="containsText" text="Freelance Audio">
      <formula>NOT(ISERROR(SEARCH("Freelance Audio",AG27)))</formula>
    </cfRule>
    <cfRule type="containsText" dxfId="978" priority="275" stopIfTrue="1" operator="containsText" text="Audio">
      <formula>NOT(ISERROR(SEARCH("Audio",AG27)))</formula>
    </cfRule>
  </conditionalFormatting>
  <conditionalFormatting sqref="AE21">
    <cfRule type="containsText" dxfId="977" priority="267" operator="containsText" text="ONE">
      <formula>NOT(ISERROR(SEARCH("ONE",AE21)))</formula>
    </cfRule>
    <cfRule type="containsText" dxfId="976" priority="268" operator="containsText" text="GEM">
      <formula>NOT(ISERROR(SEARCH("GEM",AE21)))</formula>
    </cfRule>
    <cfRule type="containsText" dxfId="975" priority="269" operator="containsText" text="ANIMAX">
      <formula>NOT(ISERROR(SEARCH("ANIMAX",AE21)))</formula>
    </cfRule>
    <cfRule type="containsText" dxfId="974" priority="270" operator="containsText" text="AXN TW">
      <formula>NOT(ISERROR(SEARCH("AXN TW",AE21)))</formula>
    </cfRule>
    <cfRule type="containsText" dxfId="973" priority="271" operator="containsText" text="AXN">
      <formula>NOT(ISERROR(SEARCH("AXN",AE21)))</formula>
    </cfRule>
  </conditionalFormatting>
  <conditionalFormatting sqref="AG21">
    <cfRule type="containsText" dxfId="972" priority="264" stopIfTrue="1" operator="containsText" text="Master">
      <formula>NOT(ISERROR(SEARCH("Master",AG21)))</formula>
    </cfRule>
    <cfRule type="containsText" dxfId="971" priority="265" stopIfTrue="1" operator="containsText" text="Freelance Audio">
      <formula>NOT(ISERROR(SEARCH("Freelance Audio",AG21)))</formula>
    </cfRule>
    <cfRule type="containsText" dxfId="970" priority="266" stopIfTrue="1" operator="containsText" text="Audio">
      <formula>NOT(ISERROR(SEARCH("Audio",AG21)))</formula>
    </cfRule>
  </conditionalFormatting>
  <conditionalFormatting sqref="C38">
    <cfRule type="containsText" dxfId="969" priority="258" operator="containsText" text="ONE">
      <formula>NOT(ISERROR(SEARCH("ONE",C38)))</formula>
    </cfRule>
    <cfRule type="containsText" dxfId="968" priority="259" operator="containsText" text="GEM">
      <formula>NOT(ISERROR(SEARCH("GEM",C38)))</formula>
    </cfRule>
    <cfRule type="containsText" dxfId="967" priority="260" operator="containsText" text="ANIMAX">
      <formula>NOT(ISERROR(SEARCH("ANIMAX",C38)))</formula>
    </cfRule>
    <cfRule type="containsText" dxfId="966" priority="261" operator="containsText" text="AXN TW">
      <formula>NOT(ISERROR(SEARCH("AXN TW",C38)))</formula>
    </cfRule>
    <cfRule type="containsText" dxfId="965" priority="262" operator="containsText" text="AXN">
      <formula>NOT(ISERROR(SEARCH("AXN",C38)))</formula>
    </cfRule>
  </conditionalFormatting>
  <conditionalFormatting sqref="E38">
    <cfRule type="containsText" dxfId="964" priority="255" stopIfTrue="1" operator="containsText" text="Master">
      <formula>NOT(ISERROR(SEARCH("Master",E38)))</formula>
    </cfRule>
    <cfRule type="containsText" dxfId="963" priority="256" stopIfTrue="1" operator="containsText" text="Freelance Audio">
      <formula>NOT(ISERROR(SEARCH("Freelance Audio",E38)))</formula>
    </cfRule>
    <cfRule type="containsText" dxfId="962" priority="257" stopIfTrue="1" operator="containsText" text="Audio">
      <formula>NOT(ISERROR(SEARCH("Audio",E38)))</formula>
    </cfRule>
  </conditionalFormatting>
  <conditionalFormatting sqref="AE33">
    <cfRule type="containsText" dxfId="961" priority="249" operator="containsText" text="ONE">
      <formula>NOT(ISERROR(SEARCH("ONE",AE33)))</formula>
    </cfRule>
    <cfRule type="containsText" dxfId="960" priority="250" operator="containsText" text="GEM">
      <formula>NOT(ISERROR(SEARCH("GEM",AE33)))</formula>
    </cfRule>
    <cfRule type="containsText" dxfId="959" priority="251" operator="containsText" text="ANIMAX">
      <formula>NOT(ISERROR(SEARCH("ANIMAX",AE33)))</formula>
    </cfRule>
    <cfRule type="containsText" dxfId="958" priority="252" operator="containsText" text="AXN TW">
      <formula>NOT(ISERROR(SEARCH("AXN TW",AE33)))</formula>
    </cfRule>
    <cfRule type="containsText" dxfId="957" priority="253" operator="containsText" text="AXN">
      <formula>NOT(ISERROR(SEARCH("AXN",AE33)))</formula>
    </cfRule>
  </conditionalFormatting>
  <conditionalFormatting sqref="AG33">
    <cfRule type="containsText" dxfId="956" priority="246" stopIfTrue="1" operator="containsText" text="Master">
      <formula>NOT(ISERROR(SEARCH("Master",AG33)))</formula>
    </cfRule>
    <cfRule type="containsText" dxfId="955" priority="247" stopIfTrue="1" operator="containsText" text="Freelance Audio">
      <formula>NOT(ISERROR(SEARCH("Freelance Audio",AG33)))</formula>
    </cfRule>
    <cfRule type="containsText" dxfId="954" priority="248" stopIfTrue="1" operator="containsText" text="Audio">
      <formula>NOT(ISERROR(SEARCH("Audio",AG33)))</formula>
    </cfRule>
  </conditionalFormatting>
  <conditionalFormatting sqref="AE34:AE35">
    <cfRule type="containsText" dxfId="953" priority="240" operator="containsText" text="ONE">
      <formula>NOT(ISERROR(SEARCH("ONE",AE34)))</formula>
    </cfRule>
    <cfRule type="containsText" dxfId="952" priority="241" operator="containsText" text="GEM">
      <formula>NOT(ISERROR(SEARCH("GEM",AE34)))</formula>
    </cfRule>
    <cfRule type="containsText" dxfId="951" priority="242" operator="containsText" text="ANIMAX">
      <formula>NOT(ISERROR(SEARCH("ANIMAX",AE34)))</formula>
    </cfRule>
    <cfRule type="containsText" dxfId="950" priority="243" operator="containsText" text="AXN TW">
      <formula>NOT(ISERROR(SEARCH("AXN TW",AE34)))</formula>
    </cfRule>
    <cfRule type="containsText" dxfId="949" priority="244" operator="containsText" text="AXN">
      <formula>NOT(ISERROR(SEARCH("AXN",AE34)))</formula>
    </cfRule>
  </conditionalFormatting>
  <conditionalFormatting sqref="AG34:AG35">
    <cfRule type="containsText" dxfId="948" priority="237" stopIfTrue="1" operator="containsText" text="Master">
      <formula>NOT(ISERROR(SEARCH("Master",AG34)))</formula>
    </cfRule>
    <cfRule type="containsText" dxfId="947" priority="238" stopIfTrue="1" operator="containsText" text="Freelance Audio">
      <formula>NOT(ISERROR(SEARCH("Freelance Audio",AG34)))</formula>
    </cfRule>
    <cfRule type="containsText" dxfId="946" priority="239" stopIfTrue="1" operator="containsText" text="Audio">
      <formula>NOT(ISERROR(SEARCH("Audio",AG34)))</formula>
    </cfRule>
  </conditionalFormatting>
  <conditionalFormatting sqref="C50">
    <cfRule type="containsText" dxfId="945" priority="231" operator="containsText" text="ONE">
      <formula>NOT(ISERROR(SEARCH("ONE",C50)))</formula>
    </cfRule>
    <cfRule type="containsText" dxfId="944" priority="232" operator="containsText" text="GEM">
      <formula>NOT(ISERROR(SEARCH("GEM",C50)))</formula>
    </cfRule>
    <cfRule type="containsText" dxfId="943" priority="233" operator="containsText" text="ANIMAX">
      <formula>NOT(ISERROR(SEARCH("ANIMAX",C50)))</formula>
    </cfRule>
    <cfRule type="containsText" dxfId="942" priority="234" operator="containsText" text="AXN TW">
      <formula>NOT(ISERROR(SEARCH("AXN TW",C50)))</formula>
    </cfRule>
    <cfRule type="containsText" dxfId="941" priority="235" operator="containsText" text="AXN">
      <formula>NOT(ISERROR(SEARCH("AXN",C50)))</formula>
    </cfRule>
  </conditionalFormatting>
  <conditionalFormatting sqref="E50">
    <cfRule type="containsText" dxfId="940" priority="228" stopIfTrue="1" operator="containsText" text="Master">
      <formula>NOT(ISERROR(SEARCH("Master",E50)))</formula>
    </cfRule>
    <cfRule type="containsText" dxfId="939" priority="229" stopIfTrue="1" operator="containsText" text="Freelance Audio">
      <formula>NOT(ISERROR(SEARCH("Freelance Audio",E50)))</formula>
    </cfRule>
    <cfRule type="containsText" dxfId="938" priority="230" stopIfTrue="1" operator="containsText" text="Audio">
      <formula>NOT(ISERROR(SEARCH("Audio",E50)))</formula>
    </cfRule>
  </conditionalFormatting>
  <conditionalFormatting sqref="C51:C52">
    <cfRule type="containsText" dxfId="937" priority="222" operator="containsText" text="ONE">
      <formula>NOT(ISERROR(SEARCH("ONE",C51)))</formula>
    </cfRule>
    <cfRule type="containsText" dxfId="936" priority="223" operator="containsText" text="GEM">
      <formula>NOT(ISERROR(SEARCH("GEM",C51)))</formula>
    </cfRule>
    <cfRule type="containsText" dxfId="935" priority="224" operator="containsText" text="ANIMAX">
      <formula>NOT(ISERROR(SEARCH("ANIMAX",C51)))</formula>
    </cfRule>
    <cfRule type="containsText" dxfId="934" priority="225" operator="containsText" text="AXN TW">
      <formula>NOT(ISERROR(SEARCH("AXN TW",C51)))</formula>
    </cfRule>
    <cfRule type="containsText" dxfId="933" priority="226" operator="containsText" text="AXN">
      <formula>NOT(ISERROR(SEARCH("AXN",C51)))</formula>
    </cfRule>
  </conditionalFormatting>
  <conditionalFormatting sqref="E51:E53">
    <cfRule type="containsText" dxfId="932" priority="219" stopIfTrue="1" operator="containsText" text="Master">
      <formula>NOT(ISERROR(SEARCH("Master",E51)))</formula>
    </cfRule>
    <cfRule type="containsText" dxfId="931" priority="220" stopIfTrue="1" operator="containsText" text="Freelance Audio">
      <formula>NOT(ISERROR(SEARCH("Freelance Audio",E51)))</formula>
    </cfRule>
    <cfRule type="containsText" dxfId="930" priority="221" stopIfTrue="1" operator="containsText" text="Audio">
      <formula>NOT(ISERROR(SEARCH("Audio",E51)))</formula>
    </cfRule>
  </conditionalFormatting>
  <conditionalFormatting sqref="AE57">
    <cfRule type="containsText" dxfId="929" priority="213" operator="containsText" text="ONE">
      <formula>NOT(ISERROR(SEARCH("ONE",AE57)))</formula>
    </cfRule>
    <cfRule type="containsText" dxfId="928" priority="214" operator="containsText" text="GEM">
      <formula>NOT(ISERROR(SEARCH("GEM",AE57)))</formula>
    </cfRule>
    <cfRule type="containsText" dxfId="927" priority="215" operator="containsText" text="ANIMAX">
      <formula>NOT(ISERROR(SEARCH("ANIMAX",AE57)))</formula>
    </cfRule>
    <cfRule type="containsText" dxfId="926" priority="216" operator="containsText" text="AXN TW">
      <formula>NOT(ISERROR(SEARCH("AXN TW",AE57)))</formula>
    </cfRule>
    <cfRule type="containsText" dxfId="925" priority="217" operator="containsText" text="AXN">
      <formula>NOT(ISERROR(SEARCH("AXN",AE57)))</formula>
    </cfRule>
  </conditionalFormatting>
  <conditionalFormatting sqref="AG57">
    <cfRule type="containsText" dxfId="924" priority="210" stopIfTrue="1" operator="containsText" text="Master">
      <formula>NOT(ISERROR(SEARCH("Master",AG57)))</formula>
    </cfRule>
    <cfRule type="containsText" dxfId="923" priority="211" stopIfTrue="1" operator="containsText" text="Freelance Audio">
      <formula>NOT(ISERROR(SEARCH("Freelance Audio",AG57)))</formula>
    </cfRule>
    <cfRule type="containsText" dxfId="922" priority="212" stopIfTrue="1" operator="containsText" text="Audio">
      <formula>NOT(ISERROR(SEARCH("Audio",AG57)))</formula>
    </cfRule>
  </conditionalFormatting>
  <conditionalFormatting sqref="I47">
    <cfRule type="expression" dxfId="921" priority="208">
      <formula>MONTH($H$20)&lt;&gt;$AN$5</formula>
    </cfRule>
  </conditionalFormatting>
  <conditionalFormatting sqref="L47:N47">
    <cfRule type="expression" dxfId="920" priority="206">
      <formula>MONTH($H$20)&lt;&gt;$AN$5</formula>
    </cfRule>
  </conditionalFormatting>
  <conditionalFormatting sqref="Q51">
    <cfRule type="containsText" dxfId="919" priority="201" operator="containsText" text="ONE">
      <formula>NOT(ISERROR(SEARCH("ONE",Q51)))</formula>
    </cfRule>
    <cfRule type="containsText" dxfId="918" priority="202" operator="containsText" text="GEM">
      <formula>NOT(ISERROR(SEARCH("GEM",Q51)))</formula>
    </cfRule>
    <cfRule type="containsText" dxfId="917" priority="203" operator="containsText" text="ANIMAX">
      <formula>NOT(ISERROR(SEARCH("ANIMAX",Q51)))</formula>
    </cfRule>
    <cfRule type="containsText" dxfId="916" priority="204" operator="containsText" text="AXN TW">
      <formula>NOT(ISERROR(SEARCH("AXN TW",Q51)))</formula>
    </cfRule>
    <cfRule type="containsText" dxfId="915" priority="205" operator="containsText" text="AXN">
      <formula>NOT(ISERROR(SEARCH("AXN",Q51)))</formula>
    </cfRule>
  </conditionalFormatting>
  <conditionalFormatting sqref="Q50">
    <cfRule type="containsText" dxfId="914" priority="195" operator="containsText" text="ONE">
      <formula>NOT(ISERROR(SEARCH("ONE",Q50)))</formula>
    </cfRule>
    <cfRule type="containsText" dxfId="913" priority="196" operator="containsText" text="GEM">
      <formula>NOT(ISERROR(SEARCH("GEM",Q50)))</formula>
    </cfRule>
    <cfRule type="containsText" dxfId="912" priority="197" operator="containsText" text="ANIMAX">
      <formula>NOT(ISERROR(SEARCH("ANIMAX",Q50)))</formula>
    </cfRule>
    <cfRule type="containsText" dxfId="911" priority="198" operator="containsText" text="AXN TW">
      <formula>NOT(ISERROR(SEARCH("AXN TW",Q50)))</formula>
    </cfRule>
    <cfRule type="containsText" dxfId="910" priority="199" operator="containsText" text="AXN">
      <formula>NOT(ISERROR(SEARCH("AXN",Q50)))</formula>
    </cfRule>
  </conditionalFormatting>
  <conditionalFormatting sqref="P50:R50">
    <cfRule type="expression" dxfId="909" priority="193">
      <formula>MONTH($H$20)&lt;&gt;$AN$5</formula>
    </cfRule>
  </conditionalFormatting>
  <conditionalFormatting sqref="P51">
    <cfRule type="expression" dxfId="908" priority="191">
      <formula>MONTH($H$20)&lt;&gt;$AN$5</formula>
    </cfRule>
  </conditionalFormatting>
  <conditionalFormatting sqref="Q63:Q64">
    <cfRule type="containsText" dxfId="907" priority="185" operator="containsText" text="ONE">
      <formula>NOT(ISERROR(SEARCH("ONE",Q63)))</formula>
    </cfRule>
    <cfRule type="containsText" dxfId="906" priority="186" operator="containsText" text="GEM">
      <formula>NOT(ISERROR(SEARCH("GEM",Q63)))</formula>
    </cfRule>
    <cfRule type="containsText" dxfId="905" priority="187" operator="containsText" text="ANIMAX">
      <formula>NOT(ISERROR(SEARCH("ANIMAX",Q63)))</formula>
    </cfRule>
    <cfRule type="containsText" dxfId="904" priority="188" operator="containsText" text="AXN TW">
      <formula>NOT(ISERROR(SEARCH("AXN TW",Q63)))</formula>
    </cfRule>
    <cfRule type="containsText" dxfId="903" priority="189" operator="containsText" text="AXN">
      <formula>NOT(ISERROR(SEARCH("AXN",Q63)))</formula>
    </cfRule>
  </conditionalFormatting>
  <conditionalFormatting sqref="AG62">
    <cfRule type="containsText" dxfId="902" priority="181" stopIfTrue="1" operator="containsText" text="Master">
      <formula>NOT(ISERROR(SEARCH("Master",AG62)))</formula>
    </cfRule>
    <cfRule type="containsText" dxfId="901" priority="182" stopIfTrue="1" operator="containsText" text="Freelance Audio">
      <formula>NOT(ISERROR(SEARCH("Freelance Audio",AG62)))</formula>
    </cfRule>
    <cfRule type="containsText" dxfId="900" priority="183" stopIfTrue="1" operator="containsText" text="Audio">
      <formula>NOT(ISERROR(SEARCH("Audio",AG62)))</formula>
    </cfRule>
  </conditionalFormatting>
  <conditionalFormatting sqref="AF62:AJ62">
    <cfRule type="expression" dxfId="899" priority="179">
      <formula>MONTH($V$56)&lt;&gt;$AN$5</formula>
    </cfRule>
  </conditionalFormatting>
  <conditionalFormatting sqref="AE62">
    <cfRule type="containsText" dxfId="898" priority="174" operator="containsText" text="ONE">
      <formula>NOT(ISERROR(SEARCH("ONE",AE62)))</formula>
    </cfRule>
    <cfRule type="containsText" dxfId="897" priority="175" operator="containsText" text="GEM">
      <formula>NOT(ISERROR(SEARCH("GEM",AE62)))</formula>
    </cfRule>
    <cfRule type="containsText" dxfId="896" priority="176" operator="containsText" text="ANIMAX">
      <formula>NOT(ISERROR(SEARCH("ANIMAX",AE62)))</formula>
    </cfRule>
    <cfRule type="containsText" dxfId="895" priority="177" operator="containsText" text="AXN TW">
      <formula>NOT(ISERROR(SEARCH("AXN TW",AE62)))</formula>
    </cfRule>
    <cfRule type="containsText" dxfId="894" priority="178" operator="containsText" text="AXN">
      <formula>NOT(ISERROR(SEARCH("AXN",AE62)))</formula>
    </cfRule>
  </conditionalFormatting>
  <conditionalFormatting sqref="AE38">
    <cfRule type="containsText" dxfId="893" priority="167" operator="containsText" text="ONE">
      <formula>NOT(ISERROR(SEARCH("ONE",AE38)))</formula>
    </cfRule>
    <cfRule type="containsText" dxfId="892" priority="168" operator="containsText" text="GEM">
      <formula>NOT(ISERROR(SEARCH("GEM",AE38)))</formula>
    </cfRule>
    <cfRule type="containsText" dxfId="891" priority="169" operator="containsText" text="ANIMAX">
      <formula>NOT(ISERROR(SEARCH("ANIMAX",AE38)))</formula>
    </cfRule>
    <cfRule type="containsText" dxfId="890" priority="170" operator="containsText" text="AXN TW">
      <formula>NOT(ISERROR(SEARCH("AXN TW",AE38)))</formula>
    </cfRule>
    <cfRule type="containsText" dxfId="889" priority="171" operator="containsText" text="AXN">
      <formula>NOT(ISERROR(SEARCH("AXN",AE38)))</formula>
    </cfRule>
  </conditionalFormatting>
  <conditionalFormatting sqref="AG38:AG39">
    <cfRule type="containsText" dxfId="888" priority="164" stopIfTrue="1" operator="containsText" text="Master">
      <formula>NOT(ISERROR(SEARCH("Master",AG38)))</formula>
    </cfRule>
    <cfRule type="containsText" dxfId="887" priority="165" stopIfTrue="1" operator="containsText" text="Freelance Audio">
      <formula>NOT(ISERROR(SEARCH("Freelance Audio",AG38)))</formula>
    </cfRule>
    <cfRule type="containsText" dxfId="886" priority="166" stopIfTrue="1" operator="containsText" text="Audio">
      <formula>NOT(ISERROR(SEARCH("Audio",AG38)))</formula>
    </cfRule>
  </conditionalFormatting>
  <conditionalFormatting sqref="C39">
    <cfRule type="containsText" dxfId="885" priority="156" operator="containsText" text="ONE">
      <formula>NOT(ISERROR(SEARCH("ONE",C39)))</formula>
    </cfRule>
    <cfRule type="containsText" dxfId="884" priority="157" operator="containsText" text="GEM">
      <formula>NOT(ISERROR(SEARCH("GEM",C39)))</formula>
    </cfRule>
    <cfRule type="containsText" dxfId="883" priority="158" operator="containsText" text="ANIMAX">
      <formula>NOT(ISERROR(SEARCH("ANIMAX",C39)))</formula>
    </cfRule>
    <cfRule type="containsText" dxfId="882" priority="159" operator="containsText" text="AXN TW">
      <formula>NOT(ISERROR(SEARCH("AXN TW",C39)))</formula>
    </cfRule>
    <cfRule type="containsText" dxfId="881" priority="160" operator="containsText" text="AXN">
      <formula>NOT(ISERROR(SEARCH("AXN",C39)))</formula>
    </cfRule>
  </conditionalFormatting>
  <conditionalFormatting sqref="E39">
    <cfRule type="containsText" dxfId="880" priority="153" stopIfTrue="1" operator="containsText" text="Master">
      <formula>NOT(ISERROR(SEARCH("Master",E39)))</formula>
    </cfRule>
    <cfRule type="containsText" dxfId="879" priority="154" stopIfTrue="1" operator="containsText" text="Freelance Audio">
      <formula>NOT(ISERROR(SEARCH("Freelance Audio",E39)))</formula>
    </cfRule>
    <cfRule type="containsText" dxfId="878" priority="155" stopIfTrue="1" operator="containsText" text="Audio">
      <formula>NOT(ISERROR(SEARCH("Audio",E39)))</formula>
    </cfRule>
  </conditionalFormatting>
  <conditionalFormatting sqref="H72">
    <cfRule type="expression" dxfId="877" priority="149">
      <formula>MONTH($H$56)&lt;&gt;$AN$5</formula>
    </cfRule>
  </conditionalFormatting>
  <conditionalFormatting sqref="H76">
    <cfRule type="expression" dxfId="876" priority="147">
      <formula>MONTH($H$56)&lt;&gt;$AN$5</formula>
    </cfRule>
  </conditionalFormatting>
  <conditionalFormatting sqref="I60:O60">
    <cfRule type="expression" dxfId="875" priority="145">
      <formula>MONTH($H$56)&lt;&gt;$AN$5</formula>
    </cfRule>
  </conditionalFormatting>
  <conditionalFormatting sqref="Q65:Q66">
    <cfRule type="containsText" dxfId="874" priority="140" operator="containsText" text="ONE">
      <formula>NOT(ISERROR(SEARCH("ONE",Q65)))</formula>
    </cfRule>
    <cfRule type="containsText" dxfId="873" priority="141" operator="containsText" text="GEM">
      <formula>NOT(ISERROR(SEARCH("GEM",Q65)))</formula>
    </cfRule>
    <cfRule type="containsText" dxfId="872" priority="142" operator="containsText" text="ANIMAX">
      <formula>NOT(ISERROR(SEARCH("ANIMAX",Q65)))</formula>
    </cfRule>
    <cfRule type="containsText" dxfId="871" priority="143" operator="containsText" text="AXN TW">
      <formula>NOT(ISERROR(SEARCH("AXN TW",Q65)))</formula>
    </cfRule>
    <cfRule type="containsText" dxfId="870" priority="144" operator="containsText" text="AXN">
      <formula>NOT(ISERROR(SEARCH("AXN",Q65)))</formula>
    </cfRule>
  </conditionalFormatting>
  <conditionalFormatting sqref="S65:S66">
    <cfRule type="containsText" dxfId="869" priority="137" stopIfTrue="1" operator="containsText" text="Master">
      <formula>NOT(ISERROR(SEARCH("Master",S65)))</formula>
    </cfRule>
    <cfRule type="containsText" dxfId="868" priority="138" stopIfTrue="1" operator="containsText" text="Freelance Audio">
      <formula>NOT(ISERROR(SEARCH("Freelance Audio",S65)))</formula>
    </cfRule>
    <cfRule type="containsText" dxfId="867" priority="139" stopIfTrue="1" operator="containsText" text="Audio">
      <formula>NOT(ISERROR(SEARCH("Audio",S65)))</formula>
    </cfRule>
  </conditionalFormatting>
  <conditionalFormatting sqref="P66:V66">
    <cfRule type="expression" dxfId="866" priority="135">
      <formula>MONTH($H$56)&lt;&gt;$AN$5</formula>
    </cfRule>
  </conditionalFormatting>
  <conditionalFormatting sqref="C62:C63">
    <cfRule type="containsText" dxfId="865" priority="129" operator="containsText" text="ONE">
      <formula>NOT(ISERROR(SEARCH("ONE",C62)))</formula>
    </cfRule>
    <cfRule type="containsText" dxfId="864" priority="130" operator="containsText" text="GEM">
      <formula>NOT(ISERROR(SEARCH("GEM",C62)))</formula>
    </cfRule>
    <cfRule type="containsText" dxfId="863" priority="131" operator="containsText" text="ANIMAX">
      <formula>NOT(ISERROR(SEARCH("ANIMAX",C62)))</formula>
    </cfRule>
    <cfRule type="containsText" dxfId="862" priority="132" operator="containsText" text="AXN TW">
      <formula>NOT(ISERROR(SEARCH("AXN TW",C62)))</formula>
    </cfRule>
    <cfRule type="containsText" dxfId="861" priority="133" operator="containsText" text="AXN">
      <formula>NOT(ISERROR(SEARCH("AXN",C62)))</formula>
    </cfRule>
  </conditionalFormatting>
  <conditionalFormatting sqref="E62:E64">
    <cfRule type="containsText" dxfId="860" priority="126" stopIfTrue="1" operator="containsText" text="Master">
      <formula>NOT(ISERROR(SEARCH("Master",E62)))</formula>
    </cfRule>
    <cfRule type="containsText" dxfId="859" priority="127" stopIfTrue="1" operator="containsText" text="Freelance Audio">
      <formula>NOT(ISERROR(SEARCH("Freelance Audio",E62)))</formula>
    </cfRule>
    <cfRule type="containsText" dxfId="858" priority="128" stopIfTrue="1" operator="containsText" text="Audio">
      <formula>NOT(ISERROR(SEARCH("Audio",E62)))</formula>
    </cfRule>
  </conditionalFormatting>
  <conditionalFormatting sqref="C63:C64">
    <cfRule type="containsText" dxfId="857" priority="118" operator="containsText" text="ONE">
      <formula>NOT(ISERROR(SEARCH("ONE",C63)))</formula>
    </cfRule>
    <cfRule type="containsText" dxfId="856" priority="119" operator="containsText" text="GEM">
      <formula>NOT(ISERROR(SEARCH("GEM",C63)))</formula>
    </cfRule>
    <cfRule type="containsText" dxfId="855" priority="120" operator="containsText" text="ANIMAX">
      <formula>NOT(ISERROR(SEARCH("ANIMAX",C63)))</formula>
    </cfRule>
    <cfRule type="containsText" dxfId="854" priority="121" operator="containsText" text="AXN TW">
      <formula>NOT(ISERROR(SEARCH("AXN TW",C63)))</formula>
    </cfRule>
    <cfRule type="containsText" dxfId="853" priority="122" operator="containsText" text="AXN">
      <formula>NOT(ISERROR(SEARCH("AXN",C63)))</formula>
    </cfRule>
  </conditionalFormatting>
  <conditionalFormatting sqref="AA65:AC65">
    <cfRule type="expression" dxfId="852" priority="114">
      <formula>MONTH($H$56)&lt;&gt;$AN$5</formula>
    </cfRule>
  </conditionalFormatting>
  <conditionalFormatting sqref="Z65">
    <cfRule type="containsText" dxfId="851" priority="111" stopIfTrue="1" operator="containsText" text="Master">
      <formula>NOT(ISERROR(SEARCH("Master",Z65)))</formula>
    </cfRule>
    <cfRule type="containsText" dxfId="850" priority="112" stopIfTrue="1" operator="containsText" text="Freelance Audio">
      <formula>NOT(ISERROR(SEARCH("Freelance Audio",Z65)))</formula>
    </cfRule>
    <cfRule type="containsText" dxfId="849" priority="113" stopIfTrue="1" operator="containsText" text="Audio">
      <formula>NOT(ISERROR(SEARCH("Audio",Z65)))</formula>
    </cfRule>
  </conditionalFormatting>
  <conditionalFormatting sqref="X65">
    <cfRule type="containsText" dxfId="848" priority="105" operator="containsText" text="ONE">
      <formula>NOT(ISERROR(SEARCH("ONE",X65)))</formula>
    </cfRule>
    <cfRule type="containsText" dxfId="847" priority="106" operator="containsText" text="GEM">
      <formula>NOT(ISERROR(SEARCH("GEM",X65)))</formula>
    </cfRule>
    <cfRule type="containsText" dxfId="846" priority="107" operator="containsText" text="ANIMAX">
      <formula>NOT(ISERROR(SEARCH("ANIMAX",X65)))</formula>
    </cfRule>
    <cfRule type="containsText" dxfId="845" priority="108" operator="containsText" text="AXN TW">
      <formula>NOT(ISERROR(SEARCH("AXN TW",X65)))</formula>
    </cfRule>
    <cfRule type="containsText" dxfId="844" priority="109" operator="containsText" text="AXN">
      <formula>NOT(ISERROR(SEARCH("AXN",X65)))</formula>
    </cfRule>
  </conditionalFormatting>
  <conditionalFormatting sqref="C53">
    <cfRule type="containsText" dxfId="843" priority="99" operator="containsText" text="ONE">
      <formula>NOT(ISERROR(SEARCH("ONE",C53)))</formula>
    </cfRule>
    <cfRule type="containsText" dxfId="842" priority="100" operator="containsText" text="GEM">
      <formula>NOT(ISERROR(SEARCH("GEM",C53)))</formula>
    </cfRule>
    <cfRule type="containsText" dxfId="841" priority="101" operator="containsText" text="ANIMAX">
      <formula>NOT(ISERROR(SEARCH("ANIMAX",C53)))</formula>
    </cfRule>
    <cfRule type="containsText" dxfId="840" priority="102" operator="containsText" text="AXN TW">
      <formula>NOT(ISERROR(SEARCH("AXN TW",C53)))</formula>
    </cfRule>
    <cfRule type="containsText" dxfId="839" priority="103" operator="containsText" text="AXN">
      <formula>NOT(ISERROR(SEARCH("AXN",C53)))</formula>
    </cfRule>
  </conditionalFormatting>
  <conditionalFormatting sqref="J51">
    <cfRule type="containsText" dxfId="838" priority="90" operator="containsText" text="ONE">
      <formula>NOT(ISERROR(SEARCH("ONE",J51)))</formula>
    </cfRule>
    <cfRule type="containsText" dxfId="837" priority="91" operator="containsText" text="GEM">
      <formula>NOT(ISERROR(SEARCH("GEM",J51)))</formula>
    </cfRule>
    <cfRule type="containsText" dxfId="836" priority="92" operator="containsText" text="ANIMAX">
      <formula>NOT(ISERROR(SEARCH("ANIMAX",J51)))</formula>
    </cfRule>
    <cfRule type="containsText" dxfId="835" priority="93" operator="containsText" text="AXN TW">
      <formula>NOT(ISERROR(SEARCH("AXN TW",J51)))</formula>
    </cfRule>
    <cfRule type="containsText" dxfId="834" priority="94" operator="containsText" text="AXN">
      <formula>NOT(ISERROR(SEARCH("AXN",J51)))</formula>
    </cfRule>
  </conditionalFormatting>
  <conditionalFormatting sqref="L64:L65">
    <cfRule type="containsText" dxfId="833" priority="86" stopIfTrue="1" operator="containsText" text="Master">
      <formula>NOT(ISERROR(SEARCH("Master",L64)))</formula>
    </cfRule>
    <cfRule type="containsText" dxfId="832" priority="87" stopIfTrue="1" operator="containsText" text="Freelance Audio">
      <formula>NOT(ISERROR(SEARCH("Freelance Audio",L64)))</formula>
    </cfRule>
    <cfRule type="containsText" dxfId="831" priority="88" stopIfTrue="1" operator="containsText" text="Audio">
      <formula>NOT(ISERROR(SEARCH("Audio",L64)))</formula>
    </cfRule>
  </conditionalFormatting>
  <conditionalFormatting sqref="J64:J65">
    <cfRule type="containsText" dxfId="830" priority="80" operator="containsText" text="ONE">
      <formula>NOT(ISERROR(SEARCH("ONE",J64)))</formula>
    </cfRule>
    <cfRule type="containsText" dxfId="829" priority="81" operator="containsText" text="GEM">
      <formula>NOT(ISERROR(SEARCH("GEM",J64)))</formula>
    </cfRule>
    <cfRule type="containsText" dxfId="828" priority="82" operator="containsText" text="ANIMAX">
      <formula>NOT(ISERROR(SEARCH("ANIMAX",J64)))</formula>
    </cfRule>
    <cfRule type="containsText" dxfId="827" priority="83" operator="containsText" text="AXN TW">
      <formula>NOT(ISERROR(SEARCH("AXN TW",J64)))</formula>
    </cfRule>
    <cfRule type="containsText" dxfId="826" priority="84" operator="containsText" text="AXN">
      <formula>NOT(ISERROR(SEARCH("AXN",J64)))</formula>
    </cfRule>
  </conditionalFormatting>
  <conditionalFormatting sqref="AE39">
    <cfRule type="containsText" dxfId="825" priority="74" operator="containsText" text="ONE">
      <formula>NOT(ISERROR(SEARCH("ONE",AE39)))</formula>
    </cfRule>
    <cfRule type="containsText" dxfId="824" priority="75" operator="containsText" text="GEM">
      <formula>NOT(ISERROR(SEARCH("GEM",AE39)))</formula>
    </cfRule>
    <cfRule type="containsText" dxfId="823" priority="76" operator="containsText" text="ANIMAX">
      <formula>NOT(ISERROR(SEARCH("ANIMAX",AE39)))</formula>
    </cfRule>
    <cfRule type="containsText" dxfId="822" priority="77" operator="containsText" text="AXN TW">
      <formula>NOT(ISERROR(SEARCH("AXN TW",AE39)))</formula>
    </cfRule>
    <cfRule type="containsText" dxfId="821" priority="78" operator="containsText" text="AXN">
      <formula>NOT(ISERROR(SEARCH("AXN",AE39)))</formula>
    </cfRule>
  </conditionalFormatting>
  <conditionalFormatting sqref="J52">
    <cfRule type="containsText" dxfId="820" priority="65" operator="containsText" text="ONE">
      <formula>NOT(ISERROR(SEARCH("ONE",J52)))</formula>
    </cfRule>
    <cfRule type="containsText" dxfId="819" priority="66" operator="containsText" text="GEM">
      <formula>NOT(ISERROR(SEARCH("GEM",J52)))</formula>
    </cfRule>
    <cfRule type="containsText" dxfId="818" priority="67" operator="containsText" text="ANIMAX">
      <formula>NOT(ISERROR(SEARCH("ANIMAX",J52)))</formula>
    </cfRule>
    <cfRule type="containsText" dxfId="817" priority="68" operator="containsText" text="AXN TW">
      <formula>NOT(ISERROR(SEARCH("AXN TW",J52)))</formula>
    </cfRule>
    <cfRule type="containsText" dxfId="816" priority="69" operator="containsText" text="AXN">
      <formula>NOT(ISERROR(SEARCH("AXN",J52)))</formula>
    </cfRule>
  </conditionalFormatting>
  <conditionalFormatting sqref="S52">
    <cfRule type="containsText" dxfId="815" priority="56" stopIfTrue="1" operator="containsText" text="Master">
      <formula>NOT(ISERROR(SEARCH("Master",S52)))</formula>
    </cfRule>
    <cfRule type="containsText" dxfId="814" priority="57" stopIfTrue="1" operator="containsText" text="Freelance Audio">
      <formula>NOT(ISERROR(SEARCH("Freelance Audio",S52)))</formula>
    </cfRule>
    <cfRule type="containsText" dxfId="813" priority="58" stopIfTrue="1" operator="containsText" text="Audio">
      <formula>NOT(ISERROR(SEARCH("Audio",S52)))</formula>
    </cfRule>
  </conditionalFormatting>
  <conditionalFormatting sqref="Q52">
    <cfRule type="containsText" dxfId="812" priority="50" operator="containsText" text="ONE">
      <formula>NOT(ISERROR(SEARCH("ONE",Q52)))</formula>
    </cfRule>
    <cfRule type="containsText" dxfId="811" priority="51" operator="containsText" text="GEM">
      <formula>NOT(ISERROR(SEARCH("GEM",Q52)))</formula>
    </cfRule>
    <cfRule type="containsText" dxfId="810" priority="52" operator="containsText" text="ANIMAX">
      <formula>NOT(ISERROR(SEARCH("ANIMAX",Q52)))</formula>
    </cfRule>
    <cfRule type="containsText" dxfId="809" priority="53" operator="containsText" text="AXN TW">
      <formula>NOT(ISERROR(SEARCH("AXN TW",Q52)))</formula>
    </cfRule>
    <cfRule type="containsText" dxfId="808" priority="54" operator="containsText" text="AXN">
      <formula>NOT(ISERROR(SEARCH("AXN",Q52)))</formula>
    </cfRule>
  </conditionalFormatting>
  <conditionalFormatting sqref="B58:D58">
    <cfRule type="expression" dxfId="807" priority="48">
      <formula>MONTH($H$56)&lt;&gt;$AN$5</formula>
    </cfRule>
  </conditionalFormatting>
  <conditionalFormatting sqref="B57:D57">
    <cfRule type="expression" dxfId="806" priority="46">
      <formula>MONTH($O$56)&lt;&gt;$AN$5</formula>
    </cfRule>
  </conditionalFormatting>
  <conditionalFormatting sqref="F58:H58">
    <cfRule type="expression" dxfId="805" priority="44">
      <formula>MONTH($H$56)&lt;&gt;$AN$5</formula>
    </cfRule>
  </conditionalFormatting>
  <conditionalFormatting sqref="F57:G57">
    <cfRule type="expression" dxfId="804" priority="42">
      <formula>MONTH($O$56)&lt;&gt;$AN$5</formula>
    </cfRule>
  </conditionalFormatting>
  <conditionalFormatting sqref="I57:O57">
    <cfRule type="expression" dxfId="803" priority="40">
      <formula>MONTH($V$56)&lt;&gt;$AN$5</formula>
    </cfRule>
  </conditionalFormatting>
  <conditionalFormatting sqref="I58:O58">
    <cfRule type="expression" dxfId="802" priority="38">
      <formula>MONTH($H$56)&lt;&gt;$AN$5</formula>
    </cfRule>
  </conditionalFormatting>
  <conditionalFormatting sqref="I59:O59">
    <cfRule type="expression" dxfId="801" priority="36">
      <formula>MONTH($H$56)&lt;&gt;$AN$5</formula>
    </cfRule>
  </conditionalFormatting>
  <conditionalFormatting sqref="P65:V65">
    <cfRule type="expression" dxfId="800" priority="32">
      <formula>MONTH($H$56)&lt;&gt;$AN$5</formula>
    </cfRule>
  </conditionalFormatting>
  <conditionalFormatting sqref="F63:H63">
    <cfRule type="expression" dxfId="799" priority="30">
      <formula>MONTH($H$56)&lt;&gt;$AN$5</formula>
    </cfRule>
  </conditionalFormatting>
  <conditionalFormatting sqref="X59">
    <cfRule type="containsText" dxfId="798" priority="24" operator="containsText" text="ONE">
      <formula>NOT(ISERROR(SEARCH("ONE",X59)))</formula>
    </cfRule>
    <cfRule type="containsText" dxfId="797" priority="25" operator="containsText" text="GEM">
      <formula>NOT(ISERROR(SEARCH("GEM",X59)))</formula>
    </cfRule>
    <cfRule type="containsText" dxfId="796" priority="26" operator="containsText" text="ANIMAX">
      <formula>NOT(ISERROR(SEARCH("ANIMAX",X59)))</formula>
    </cfRule>
    <cfRule type="containsText" dxfId="795" priority="27" operator="containsText" text="AXN TW">
      <formula>NOT(ISERROR(SEARCH("AXN TW",X59)))</formula>
    </cfRule>
    <cfRule type="containsText" dxfId="794" priority="28" operator="containsText" text="AXN">
      <formula>NOT(ISERROR(SEARCH("AXN",X59)))</formula>
    </cfRule>
  </conditionalFormatting>
  <conditionalFormatting sqref="AE65">
    <cfRule type="containsText" dxfId="793" priority="9" operator="containsText" text="ONE">
      <formula>NOT(ISERROR(SEARCH("ONE",AE65)))</formula>
    </cfRule>
    <cfRule type="containsText" dxfId="792" priority="10" operator="containsText" text="GEM">
      <formula>NOT(ISERROR(SEARCH("GEM",AE65)))</formula>
    </cfRule>
    <cfRule type="containsText" dxfId="791" priority="11" operator="containsText" text="ANIMAX">
      <formula>NOT(ISERROR(SEARCH("ANIMAX",AE65)))</formula>
    </cfRule>
    <cfRule type="containsText" dxfId="790" priority="12" operator="containsText" text="AXN TW">
      <formula>NOT(ISERROR(SEARCH("AXN TW",AE65)))</formula>
    </cfRule>
    <cfRule type="containsText" dxfId="789" priority="13" operator="containsText" text="AXN">
      <formula>NOT(ISERROR(SEARCH("AXN",AE65)))</formula>
    </cfRule>
  </conditionalFormatting>
  <conditionalFormatting sqref="AD65:AF65 AH65:AJ65">
    <cfRule type="expression" dxfId="788" priority="7">
      <formula>MONTH($AJ$56)&lt;&gt;$AN$5</formula>
    </cfRule>
  </conditionalFormatting>
  <conditionalFormatting sqref="K27">
    <cfRule type="expression" dxfId="787" priority="5">
      <formula>MONTH($H$20)&lt;&gt;$AN$5</formula>
    </cfRule>
  </conditionalFormatting>
  <conditionalFormatting sqref="W57:AB57">
    <cfRule type="expression" dxfId="786" priority="3">
      <formula>MONTH($O$56)&lt;&gt;$AN$5</formula>
    </cfRule>
  </conditionalFormatting>
  <conditionalFormatting sqref="W59:Y59 AA59:AC59">
    <cfRule type="expression" dxfId="785" priority="1">
      <formula>MONTH($AJ$56)&lt;&gt;$AN$5</formula>
    </cfRule>
  </conditionalFormatting>
  <dataValidations count="5">
    <dataValidation type="list" allowBlank="1" showInputMessage="1" showErrorMessage="1" sqref="G9:G19 N9:N19 U9:U19 AB9:AB19 AI9:AI19 N45:N55 N21:N31 U21:U31 AB45:AB55 AB21:AB31 G21:G31 N33:N43 U33:U43 AI21:AI31 G57:G67 G33:G43 AI45:AI55 U45:U55 G45:G55 AI57:AI67 N57:N67 G69:G79 AI33:AI43 U57:U67 AI69:AI79 AB33:AB43 N69:N79 U69:U79 AB69:AB79 AB57:AB67" xr:uid="{047FAB2C-6C07-452F-875A-54043359616D}">
      <formula1>"0.5,1,1.5,2,2.5,3,3.5,4,4.5,5,5.5,6,6.5,7,7.5,8"</formula1>
    </dataValidation>
    <dataValidation type="list" allowBlank="1" showInputMessage="1" showErrorMessage="1" sqref="F9:F19 M9:M19 T9:T19 AA9:AA19 AH9:AH19 M45:M55 M21:M31 T21:T31 AA45:AA55 AA21:AA31 F21:F31 M33:M43 T33:T43 AH21:AH31 F57:F67 F33:F43 AH45:AH55 T45:T55 AH33:AH43 AH57:AH67 M57:M67 F69:F79 F45:F55 T57:T67 AH69:AH79 AA33:AA43 M69:M79 T69:T79 AA69:AA79 AA57:AA67" xr:uid="{3767B498-4BA2-4722-9A52-60109E7FBEFE}">
      <formula1>"AM, PM"</formula1>
    </dataValidation>
    <dataValidation type="list" allowBlank="1" showInputMessage="1" showErrorMessage="1" sqref="E9:E19 L9:L19 S9:S19 Z9:Z19 AG9:AG19 L45:L55 L21:L31 S21:S31 Z45:Z55 Z21:Z31 E21:E31 L33:L43 S33:S43 AG21:AG31 E57:E67 E33:E43 AG45:AG55 S57:S67 AG33:AG43 AG57:AG67 L57:L67 E69:E79 E45:E55 S45:S55 AG69:AG79 Z33:Z43 L69:L79 S69:S79 Z69:Z79 Z57:Z67" xr:uid="{299D0387-40CF-40FD-901B-4D74894210FB}">
      <formula1>"Audio,Freelance Audio,Master"</formula1>
    </dataValidation>
    <dataValidation type="list" allowBlank="1" showInputMessage="1" showErrorMessage="1" sqref="C9:C19 J9:J19 Q9:Q19 X9:X19 AE9:AE19 C69:C79 J21:J31 Q21:Q31 X45:X55 X21:X31 C21:C31 J33:J43 Q33:Q43 AE21:AE31 Q57:Q67 C33:C43 X33:X43 Q45:Q55 AE33:AE43 AE57:AE67 J57:J67 J45:J55 C45:C55 AE45:AE55 AE69:AE79 C57:C67 J69:J79 Q69:Q79 X69:X79 X57:X67" xr:uid="{154FF050-ABF7-4B7F-9F68-1C5A6E76C6C3}">
      <formula1>"ANIMAX,AXN,AXN TW,GEM,ONE"</formula1>
    </dataValidation>
    <dataValidation type="list" allowBlank="1" showInputMessage="1" showErrorMessage="1" sqref="B9:B19 I9:I19 P9:P19 W9:W19 AD9:AD19 B45:B55 I21:I31 P21:P31 W45:W55 W21:W31 B21:B31 I33:I43 P33:P43 AD21:AD31 P57:P67 B33:B43 W33:W43 AD57:AD67 AD33:AD43 I57:I67 I45:I55 B69:B79 P45:P55 B57:B67 I69:I79 P69:P79 W69:W79 AD69:AD79 AD45:AD55 W57:W67" xr:uid="{CF5BB4F6-AD29-479C-B93D-79892283F08D}">
      <formula1>"DANIEL,JESSIE,NATASHA,SUSAN,WAYNE,DOROTHY,MARIA,CATH,FREELANCER"</formula1>
    </dataValidation>
  </dataValidations>
  <pageMargins left="0.7" right="0.7" top="0.75" bottom="0.75" header="0.3" footer="0.3"/>
  <pageSetup paperSize="9" scale="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Spinner 1">
              <controlPr locked="0" defaultSize="0" print="0" autoPict="0" altText="YEAR">
                <anchor moveWithCells="1" sizeWithCells="1">
                  <from>
                    <xdr:col>40</xdr:col>
                    <xdr:colOff>0</xdr:colOff>
                    <xdr:row>1</xdr:row>
                    <xdr:rowOff>571500</xdr:rowOff>
                  </from>
                  <to>
                    <xdr:col>41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Spinner 2">
              <controlPr locked="0" defaultSize="0" print="0" autoPict="0">
                <anchor moveWithCells="1" sizeWithCells="1">
                  <from>
                    <xdr:col>39</xdr:col>
                    <xdr:colOff>904875</xdr:colOff>
                    <xdr:row>4</xdr:row>
                    <xdr:rowOff>0</xdr:rowOff>
                  </from>
                  <to>
                    <xdr:col>40</xdr:col>
                    <xdr:colOff>457200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6" name="Button 3">
              <controlPr locked="0" defaultSize="0" print="0" autoFill="0" autoPict="0" macro="[0]!GenerateBookingSheet" altText="GENERATE">
                <anchor moveWithCells="1" sizeWithCells="1">
                  <from>
                    <xdr:col>41</xdr:col>
                    <xdr:colOff>419100</xdr:colOff>
                    <xdr:row>1</xdr:row>
                    <xdr:rowOff>9525</xdr:rowOff>
                  </from>
                  <to>
                    <xdr:col>46</xdr:col>
                    <xdr:colOff>342900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65" id="{4C321B92-4BF4-457D-94FD-7993F1A76D8E}">
            <xm:f>MATCH($H$8,HOLIDAYS!$B$2:$B$22,0)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B9:H19</xm:sqref>
        </x14:conditionalFormatting>
        <x14:conditionalFormatting xmlns:xm="http://schemas.microsoft.com/office/excel/2006/main">
          <x14:cfRule type="expression" priority="564" id="{7003EDF1-BA1B-40C9-AD8F-79C91B54207E}">
            <xm:f>MATCH($O$8,HOLIDAYS!$B$2:$B$22,0)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I9:O19</xm:sqref>
        </x14:conditionalFormatting>
        <x14:conditionalFormatting xmlns:xm="http://schemas.microsoft.com/office/excel/2006/main">
          <x14:cfRule type="expression" priority="563" id="{17988D3D-2E65-4874-BFCB-45D14657C6B7}">
            <xm:f>MATCH($V$8,HOLIDAYS!$B$2:$B$22,0)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P9:V19</xm:sqref>
        </x14:conditionalFormatting>
        <x14:conditionalFormatting xmlns:xm="http://schemas.microsoft.com/office/excel/2006/main">
          <x14:cfRule type="expression" priority="566" id="{E45192F7-A99A-4FEC-8DB8-DB1134476ACB}">
            <xm:f>MATCH($AJ$8,HOLIDAYS!$B$2:$B$22,0)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AD9:AJ19</xm:sqref>
        </x14:conditionalFormatting>
        <x14:conditionalFormatting xmlns:xm="http://schemas.microsoft.com/office/excel/2006/main">
          <x14:cfRule type="expression" priority="562" id="{280C8483-FA57-42EF-BC66-66300045974C}">
            <xm:f>MATCH($AC$8,HOLIDAYS!$B$2:$B$22,0)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W9:AC19</xm:sqref>
        </x14:conditionalFormatting>
        <x14:conditionalFormatting xmlns:xm="http://schemas.microsoft.com/office/excel/2006/main">
          <x14:cfRule type="expression" priority="560" id="{C6844C49-6398-4A15-9BE7-ABD5C98F8059}">
            <xm:f>MATCH($AJ$68,HOLIDAYS!$B$2:$B$22,0)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AD69:AJ79</xm:sqref>
        </x14:conditionalFormatting>
        <x14:conditionalFormatting xmlns:xm="http://schemas.microsoft.com/office/excel/2006/main">
          <x14:cfRule type="expression" priority="559" id="{91A357CC-5423-4E1C-90DE-A4782388C525}">
            <xm:f>MATCH($AC$68,HOLIDAYS!$B$2:$B$22,0)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W69:AC79</xm:sqref>
        </x14:conditionalFormatting>
        <x14:conditionalFormatting xmlns:xm="http://schemas.microsoft.com/office/excel/2006/main">
          <x14:cfRule type="expression" priority="558" id="{911F5567-46CF-42E8-9C4E-9E64D542ED17}">
            <xm:f>MATCH($V$68,HOLIDAYS!$B$2:$B$22,0)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P69:V79</xm:sqref>
        </x14:conditionalFormatting>
        <x14:conditionalFormatting xmlns:xm="http://schemas.microsoft.com/office/excel/2006/main">
          <x14:cfRule type="expression" priority="557" id="{E1BB834C-7C99-47EB-ADAD-3460AEF16CAB}">
            <xm:f>MATCH($O$68,HOLIDAYS!$B$2:$B$22,0)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I69:O79</xm:sqref>
        </x14:conditionalFormatting>
        <x14:conditionalFormatting xmlns:xm="http://schemas.microsoft.com/office/excel/2006/main">
          <x14:cfRule type="expression" priority="556" id="{3EA72E71-6729-47D3-A8D7-2FDF8CA89ED1}">
            <xm:f>MATCH($H$68,HOLIDAYS!$B$2:$B$22,0)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B69:H70 B73:H75 B72:G72 B77:H79 B76:G76</xm:sqref>
        </x14:conditionalFormatting>
        <x14:conditionalFormatting xmlns:xm="http://schemas.microsoft.com/office/excel/2006/main">
          <x14:cfRule type="expression" priority="555" id="{F1D6D62B-213A-4F84-8B3C-DC9AFFEE1C4B}">
            <xm:f>MATCH($AJ$56,HOLIDAYS!$B$2:$B$22,0)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AJ57 AD59:AJ61 AD63:AJ64 AD66:AJ67 AG65</xm:sqref>
        </x14:conditionalFormatting>
        <x14:conditionalFormatting xmlns:xm="http://schemas.microsoft.com/office/excel/2006/main">
          <x14:cfRule type="expression" priority="554" id="{C992368C-9AEE-47D0-9CBE-4E54859F459D}">
            <xm:f>MATCH($AC$56,HOLIDAYS!$B$2:$B$22,0)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W66:AC67 W57:AI57 W58:AC61</xm:sqref>
        </x14:conditionalFormatting>
        <x14:conditionalFormatting xmlns:xm="http://schemas.microsoft.com/office/excel/2006/main">
          <x14:cfRule type="expression" priority="553" id="{B53354CF-5896-47CC-A35E-B38DCE28DF34}">
            <xm:f>MATCH($V$56,HOLIDAYS!$B$2:$B$22,0)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P67:V67 P57:V65</xm:sqref>
        </x14:conditionalFormatting>
        <x14:conditionalFormatting xmlns:xm="http://schemas.microsoft.com/office/excel/2006/main">
          <x14:cfRule type="expression" priority="552" id="{DB43C8CE-42CD-436B-A50B-32840729A885}">
            <xm:f>MATCH($O$56,HOLIDAYS!$B$2:$B$22,0)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I57:O57 I61:O62 I66:O67 I62:N64</xm:sqref>
        </x14:conditionalFormatting>
        <x14:conditionalFormatting xmlns:xm="http://schemas.microsoft.com/office/excel/2006/main">
          <x14:cfRule type="expression" priority="551" id="{5FB33880-D314-49D0-88FA-78A0A621F868}">
            <xm:f>MATCH($H$56,HOLIDAYS!$B$2:$B$22,0)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B57:H57 B59:H62 B65:H67 F64:H64</xm:sqref>
        </x14:conditionalFormatting>
        <x14:conditionalFormatting xmlns:xm="http://schemas.microsoft.com/office/excel/2006/main">
          <x14:cfRule type="expression" priority="550" id="{564CC601-01E0-4DA8-8228-F5651BB57F20}">
            <xm:f>MATCH($H$20,HOLIDAYS!$B$2:$B$22,0)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B21:H31</xm:sqref>
        </x14:conditionalFormatting>
        <x14:conditionalFormatting xmlns:xm="http://schemas.microsoft.com/office/excel/2006/main">
          <x14:cfRule type="expression" priority="543" id="{A741C9B3-4AAB-4D53-B1C0-65D885A5907A}">
            <xm:f>MATCH($O$20,HOLIDAYS!$B$2:$B$22,0)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I21:O26 I28:O31 I27:J27 L27:O27</xm:sqref>
        </x14:conditionalFormatting>
        <x14:conditionalFormatting xmlns:xm="http://schemas.microsoft.com/office/excel/2006/main">
          <x14:cfRule type="expression" priority="542" id="{E27527BF-AF32-40B7-B445-4772F4D172C5}">
            <xm:f>MATCH($V$20,HOLIDAYS!$B$2:$B$22,0)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P21:V31</xm:sqref>
        </x14:conditionalFormatting>
        <x14:conditionalFormatting xmlns:xm="http://schemas.microsoft.com/office/excel/2006/main">
          <x14:cfRule type="expression" priority="541" id="{4A530963-BFEE-4410-A69E-264014FA3D22}">
            <xm:f>MATCH($AC$20,HOLIDAYS!$B$2:$B$22,0)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W21:AC26 W28:AC31</xm:sqref>
        </x14:conditionalFormatting>
        <x14:conditionalFormatting xmlns:xm="http://schemas.microsoft.com/office/excel/2006/main">
          <x14:cfRule type="expression" priority="540" id="{3051DF63-825D-4232-9D14-D90DB20DBB0C}">
            <xm:f>MATCH($AJ$20,HOLIDAYS!$B$2:$B$22,0)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AD23:AJ25 AD28:AJ31 AD22:AI22</xm:sqref>
        </x14:conditionalFormatting>
        <x14:conditionalFormatting xmlns:xm="http://schemas.microsoft.com/office/excel/2006/main">
          <x14:cfRule type="expression" priority="539" id="{C4B89442-A1C6-4BEA-8B17-BD81E8D43FE2}">
            <xm:f>MATCH($H$32,HOLIDAYS!$B$2:$B$22,0)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B35:H37 B40:H43</xm:sqref>
        </x14:conditionalFormatting>
        <x14:conditionalFormatting xmlns:xm="http://schemas.microsoft.com/office/excel/2006/main">
          <x14:cfRule type="expression" priority="538" id="{87D51022-3572-4524-BC02-D86CD650125E}">
            <xm:f>MATCH($O$32,HOLIDAYS!$B$2:$B$22,0)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I33:O43</xm:sqref>
        </x14:conditionalFormatting>
        <x14:conditionalFormatting xmlns:xm="http://schemas.microsoft.com/office/excel/2006/main">
          <x14:cfRule type="expression" priority="537" id="{5E5FEF3E-147D-4B3D-A631-265615CA03FD}">
            <xm:f>MATCH($V$32,HOLIDAYS!$B$2:$B$22,0)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P33:V43</xm:sqref>
        </x14:conditionalFormatting>
        <x14:conditionalFormatting xmlns:xm="http://schemas.microsoft.com/office/excel/2006/main">
          <x14:cfRule type="expression" priority="536" id="{B9FB6ECD-AA79-41B4-980C-25530B43E829}">
            <xm:f>MATCH($AC$32,HOLIDAYS!$B$2:$B$22,0)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Z39:Z40 W33:AB33 W41:AC43 W34:AC37</xm:sqref>
        </x14:conditionalFormatting>
        <x14:conditionalFormatting xmlns:xm="http://schemas.microsoft.com/office/excel/2006/main">
          <x14:cfRule type="expression" priority="535" id="{25F67ECF-B558-404E-8BA4-8A44108C9FB1}">
            <xm:f>MATCH($AJ$32,HOLIDAYS!$B$2:$B$22,0)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AD40:AJ43 AD36:AJ37</xm:sqref>
        </x14:conditionalFormatting>
        <x14:conditionalFormatting xmlns:xm="http://schemas.microsoft.com/office/excel/2006/main">
          <x14:cfRule type="expression" priority="534" id="{3BE1C22A-9EC5-45FF-BFDE-978ACE62CD88}">
            <xm:f>MATCH($H$44,HOLIDAYS!$B$2:$B$22,0)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B48:H49 B54:H55 B47:D47 F47:H47</xm:sqref>
        </x14:conditionalFormatting>
        <x14:conditionalFormatting xmlns:xm="http://schemas.microsoft.com/office/excel/2006/main">
          <x14:cfRule type="expression" priority="533" id="{B54532E5-9A0C-449C-811C-77C510EF29DC}">
            <xm:f>MATCH($O$44,HOLIDAYS!$B$2:$B$22,0)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I48:O50 P45:V45 J47:K47 O47 I53:O55 L51:O51 L52</xm:sqref>
        </x14:conditionalFormatting>
        <x14:conditionalFormatting xmlns:xm="http://schemas.microsoft.com/office/excel/2006/main">
          <x14:cfRule type="expression" priority="532" id="{9FC1610D-808A-434B-AF84-987AD3FF51FB}">
            <xm:f>MATCH($V$44,HOLIDAYS!$B$2:$B$22,0)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P46:V49 P53:V55 S50 S51:U51</xm:sqref>
        </x14:conditionalFormatting>
        <x14:conditionalFormatting xmlns:xm="http://schemas.microsoft.com/office/excel/2006/main">
          <x14:cfRule type="expression" priority="531" id="{4E723C37-CE38-4CBC-A1A5-2C76F9E86464}">
            <xm:f>MATCH($AC$44,HOLIDAYS!$B$2:$B$22,0)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W47:AC49 W53:AC55 W45:X45 Z45:AC45 W46:AB46</xm:sqref>
        </x14:conditionalFormatting>
        <x14:conditionalFormatting xmlns:xm="http://schemas.microsoft.com/office/excel/2006/main">
          <x14:cfRule type="expression" priority="530" id="{D80561D3-E5D2-4310-862A-1471FB093488}">
            <xm:f>MATCH($AJ$44,HOLIDAYS!$B$2:$B$22,0)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AD45:AI45 AD46:AJ55</xm:sqref>
        </x14:conditionalFormatting>
        <x14:conditionalFormatting xmlns:xm="http://schemas.microsoft.com/office/excel/2006/main">
          <x14:cfRule type="expression" priority="544" id="{96C5CFF3-FB24-4AA0-B061-5917F684E397}">
            <xm:f>MATCH($B$20,HOLIDAYS!$D$2:$D$22,0)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B20:H20</xm:sqref>
        </x14:conditionalFormatting>
        <x14:conditionalFormatting xmlns:xm="http://schemas.microsoft.com/office/excel/2006/main">
          <x14:cfRule type="expression" priority="567" id="{42306EF7-73B7-4434-922B-81BAC1EB9D0D}">
            <xm:f>MATCH($B$8,HOLIDAYS!$D$2:$D$22,0)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B8:H8</xm:sqref>
        </x14:conditionalFormatting>
        <x14:conditionalFormatting xmlns:xm="http://schemas.microsoft.com/office/excel/2006/main">
          <x14:cfRule type="expression" priority="547" id="{FBEF81CD-C71A-4D47-B919-9C3E8C3644AB}">
            <xm:f>MATCH($I$8,HOLIDAYS!$D$2:$D$22,0)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I8:O8</xm:sqref>
        </x14:conditionalFormatting>
        <x14:conditionalFormatting xmlns:xm="http://schemas.microsoft.com/office/excel/2006/main">
          <x14:cfRule type="expression" priority="546" id="{93E60165-64B7-4456-813A-9855EB120A01}">
            <xm:f>MATCH($P$8,HOLIDAYS!$D$2:$D$22,0)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P8:V8</xm:sqref>
        </x14:conditionalFormatting>
        <x14:conditionalFormatting xmlns:xm="http://schemas.microsoft.com/office/excel/2006/main">
          <x14:cfRule type="expression" priority="545" id="{766D21B4-98AC-4857-9EB2-761BF73FF589}">
            <xm:f>MATCH($W$8,HOLIDAYS!$D$2:$D$22,0)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W8:AC8</xm:sqref>
        </x14:conditionalFormatting>
        <x14:conditionalFormatting xmlns:xm="http://schemas.microsoft.com/office/excel/2006/main">
          <x14:cfRule type="expression" priority="561" id="{CD953C1C-CE9A-464B-80A6-C93957DD78D7}">
            <xm:f>MATCH($AD$8,HOLIDAYS!$D$2:$D$22,0)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AD8:AJ8</xm:sqref>
        </x14:conditionalFormatting>
        <x14:conditionalFormatting xmlns:xm="http://schemas.microsoft.com/office/excel/2006/main">
          <x14:cfRule type="expression" priority="514" id="{84E457BA-4290-414D-A256-36D755B5DA60}">
            <xm:f>MATCH($I$20,HOLIDAYS!$D$2:$D$22,0)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I20:O20</xm:sqref>
        </x14:conditionalFormatting>
        <x14:conditionalFormatting xmlns:xm="http://schemas.microsoft.com/office/excel/2006/main">
          <x14:cfRule type="expression" priority="513" id="{296083C3-ECB1-490B-ACF1-A6CEAF6C22CE}">
            <xm:f>MATCH($P$20,HOLIDAYS!$D$2:$D$22,0)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P20:V20</xm:sqref>
        </x14:conditionalFormatting>
        <x14:conditionalFormatting xmlns:xm="http://schemas.microsoft.com/office/excel/2006/main">
          <x14:cfRule type="expression" priority="512" id="{A93A6DDE-5601-4F8F-BDE3-206F92981C63}">
            <xm:f>MATCH($W$20,HOLIDAYS!$D$2:$D$22,0)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W20:AC20</xm:sqref>
        </x14:conditionalFormatting>
        <x14:conditionalFormatting xmlns:xm="http://schemas.microsoft.com/office/excel/2006/main">
          <x14:cfRule type="expression" priority="511" id="{284E888E-1EA6-4929-8AD2-625193DC7C38}">
            <xm:f>MATCH($AD$20,HOLIDAYS!$D$2:$D$22,0)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AD20:AJ20</xm:sqref>
        </x14:conditionalFormatting>
        <x14:conditionalFormatting xmlns:xm="http://schemas.microsoft.com/office/excel/2006/main">
          <x14:cfRule type="expression" priority="510" id="{40682FF4-08B6-4057-A5BD-0B917ED0752E}">
            <xm:f>MATCH($B$32,HOLIDAYS!$D$2:$D$22,0)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B32:H32</xm:sqref>
        </x14:conditionalFormatting>
        <x14:conditionalFormatting xmlns:xm="http://schemas.microsoft.com/office/excel/2006/main">
          <x14:cfRule type="expression" priority="509" id="{90469D24-4B51-4902-A104-6E0F8049698C}">
            <xm:f>MATCH($I$32,HOLIDAYS!$D$2:$D$22,0)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I32:O32</xm:sqref>
        </x14:conditionalFormatting>
        <x14:conditionalFormatting xmlns:xm="http://schemas.microsoft.com/office/excel/2006/main">
          <x14:cfRule type="expression" priority="508" id="{83FCCCDB-20A8-4FF5-A794-AA1E1C3C5640}">
            <xm:f>MATCH($P$32,HOLIDAYS!$D$2:$D$22,0)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P32:V32</xm:sqref>
        </x14:conditionalFormatting>
        <x14:conditionalFormatting xmlns:xm="http://schemas.microsoft.com/office/excel/2006/main">
          <x14:cfRule type="expression" priority="507" id="{E36D4C77-1377-4AC6-9649-5F568D5084B9}">
            <xm:f>MATCH($W$32,HOLIDAYS!$D$2:$D$22,0)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W32:AC32</xm:sqref>
        </x14:conditionalFormatting>
        <x14:conditionalFormatting xmlns:xm="http://schemas.microsoft.com/office/excel/2006/main">
          <x14:cfRule type="expression" priority="506" id="{0DC762B8-6B2A-46A1-B48D-2019F3E31BC4}">
            <xm:f>MATCH($AD$32,HOLIDAYS!$D$2:$D$22,0)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AD32:AJ32</xm:sqref>
        </x14:conditionalFormatting>
        <x14:conditionalFormatting xmlns:xm="http://schemas.microsoft.com/office/excel/2006/main">
          <x14:cfRule type="expression" priority="504" id="{6CC2F3EE-DD35-47E5-806D-94B887625E56}">
            <xm:f>MATCH($AD$44,HOLIDAYS!$D$2:$D$22,0)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AD44:AJ44</xm:sqref>
        </x14:conditionalFormatting>
        <x14:conditionalFormatting xmlns:xm="http://schemas.microsoft.com/office/excel/2006/main">
          <x14:cfRule type="expression" priority="505" id="{FBCCC2BE-17D3-4CFD-A1D0-28EF1B7C5909}">
            <xm:f>MATCH($W$44,HOLIDAYS!$D$2:$D$22,0)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W44:AC44</xm:sqref>
        </x14:conditionalFormatting>
        <x14:conditionalFormatting xmlns:xm="http://schemas.microsoft.com/office/excel/2006/main">
          <x14:cfRule type="expression" priority="503" id="{924BD631-E1EC-471D-B472-536A9DE5366A}">
            <xm:f>MATCH($P$44,HOLIDAYS!$D$2:$D$22,0)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P44:V44</xm:sqref>
        </x14:conditionalFormatting>
        <x14:conditionalFormatting xmlns:xm="http://schemas.microsoft.com/office/excel/2006/main">
          <x14:cfRule type="expression" priority="502" id="{3C2ADD98-76D9-4224-A972-F34449435BC4}">
            <xm:f>MATCH($I$44,HOLIDAYS!$D$2:$D$22,0)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I44:O44</xm:sqref>
        </x14:conditionalFormatting>
        <x14:conditionalFormatting xmlns:xm="http://schemas.microsoft.com/office/excel/2006/main">
          <x14:cfRule type="expression" priority="501" id="{314A19FE-C5AE-4043-A870-7C3740990B2F}">
            <xm:f>MATCH($B$44,HOLIDAYS!$D$2:$D$22,0)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B44:H44</xm:sqref>
        </x14:conditionalFormatting>
        <x14:conditionalFormatting xmlns:xm="http://schemas.microsoft.com/office/excel/2006/main">
          <x14:cfRule type="expression" priority="529" id="{1875F47D-9049-4DCE-97F8-A1363467A102}">
            <xm:f>MATCH($B$56,HOLIDAYS!$D$2:$D$22,0)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B56:H56</xm:sqref>
        </x14:conditionalFormatting>
        <x14:conditionalFormatting xmlns:xm="http://schemas.microsoft.com/office/excel/2006/main">
          <x14:cfRule type="expression" priority="528" id="{BACBE9FB-FD42-4309-BBF3-7F9F46583ABF}">
            <xm:f>MATCH($I$56,HOLIDAYS!$D$2:$D$22,0)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I56:O56</xm:sqref>
        </x14:conditionalFormatting>
        <x14:conditionalFormatting xmlns:xm="http://schemas.microsoft.com/office/excel/2006/main">
          <x14:cfRule type="expression" priority="527" id="{5FC25111-A9F6-44DB-8141-81AD6DEDD0A7}">
            <xm:f>MATCH($P$56,HOLIDAYS!$D$2:$D$22,0)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P56:V56</xm:sqref>
        </x14:conditionalFormatting>
        <x14:conditionalFormatting xmlns:xm="http://schemas.microsoft.com/office/excel/2006/main">
          <x14:cfRule type="expression" priority="526" id="{7C607CFC-8CEE-44FA-8EF1-9E47925429EF}">
            <xm:f>MATCH($W$56,HOLIDAYS!$D$2:$D$22,0)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W56:AC56</xm:sqref>
        </x14:conditionalFormatting>
        <x14:conditionalFormatting xmlns:xm="http://schemas.microsoft.com/office/excel/2006/main">
          <x14:cfRule type="expression" priority="549" id="{BF149D32-5240-4604-9F80-DAEE1E41FFC2}">
            <xm:f>MATCH($AD$56,HOLIDAYS!$D$2:$D$22,0)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AD56:AJ56</xm:sqref>
        </x14:conditionalFormatting>
        <x14:conditionalFormatting xmlns:xm="http://schemas.microsoft.com/office/excel/2006/main">
          <x14:cfRule type="expression" priority="521" id="{3E5CB4FB-D90B-432F-93E2-FBE455CEBC74}">
            <xm:f>MATCH($AD$68,HOLIDAYS!$D$2:$D$22,0)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AD68:AJ68</xm:sqref>
        </x14:conditionalFormatting>
        <x14:conditionalFormatting xmlns:xm="http://schemas.microsoft.com/office/excel/2006/main">
          <x14:cfRule type="expression" priority="522" id="{EDDB162D-F6A2-44F5-A180-A5806DA60B5E}">
            <xm:f>MATCH($W$68,HOLIDAYS!$D$2:$D$22,0)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W68:AC68</xm:sqref>
        </x14:conditionalFormatting>
        <x14:conditionalFormatting xmlns:xm="http://schemas.microsoft.com/office/excel/2006/main">
          <x14:cfRule type="expression" priority="523" id="{A360BE72-1DD8-4971-AC5B-DA1A38770E7A}">
            <xm:f>MATCH($P$68,HOLIDAYS!$D$2:$D$22,0)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P68:V68</xm:sqref>
        </x14:conditionalFormatting>
        <x14:conditionalFormatting xmlns:xm="http://schemas.microsoft.com/office/excel/2006/main">
          <x14:cfRule type="expression" priority="524" id="{7984874F-C178-4EB6-909A-61FB75969813}">
            <xm:f>MATCH($I$68,HOLIDAYS!$D$2:$D$22,0)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I68:O68</xm:sqref>
        </x14:conditionalFormatting>
        <x14:conditionalFormatting xmlns:xm="http://schemas.microsoft.com/office/excel/2006/main">
          <x14:cfRule type="expression" priority="525" id="{635EF0FB-49F6-40C4-8CBB-0DD2A94E7E4C}">
            <xm:f>MATCH($B$68,HOLIDAYS!$D$2:$D$22,0)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B68:H68</xm:sqref>
        </x14:conditionalFormatting>
        <x14:conditionalFormatting xmlns:xm="http://schemas.microsoft.com/office/excel/2006/main">
          <x14:cfRule type="expression" priority="481" id="{3A7D53EB-4A5D-4949-9CC7-8BEE76DA3060}">
            <xm:f>MATCH($H$68,HOLIDAYS!$B$2:$B$22,0)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AD58:AJ58</xm:sqref>
        </x14:conditionalFormatting>
        <x14:conditionalFormatting xmlns:xm="http://schemas.microsoft.com/office/excel/2006/main">
          <x14:cfRule type="expression" priority="471" id="{4812D538-CC68-4470-A67F-D094347DA419}">
            <xm:f>MATCH($V$56,HOLIDAYS!$B$2:$B$22,0)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I58:O58</xm:sqref>
        </x14:conditionalFormatting>
        <x14:conditionalFormatting xmlns:xm="http://schemas.microsoft.com/office/excel/2006/main">
          <x14:cfRule type="expression" priority="467" id="{9F74DA0F-17F5-48CD-B91B-1EAAE1269D64}">
            <xm:f>MATCH($V$56,HOLIDAYS!$B$2:$B$22,0)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O62:O64</xm:sqref>
        </x14:conditionalFormatting>
        <x14:conditionalFormatting xmlns:xm="http://schemas.microsoft.com/office/excel/2006/main">
          <x14:cfRule type="expression" priority="457" id="{B1A466BC-7B02-45D4-946B-4D7CFD080A15}">
            <xm:f>MATCH($O$56,HOLIDAYS!$B$2:$B$22,0)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B58:G58</xm:sqref>
        </x14:conditionalFormatting>
        <x14:conditionalFormatting xmlns:xm="http://schemas.microsoft.com/office/excel/2006/main">
          <x14:cfRule type="expression" priority="455" id="{0311F4F3-517D-4A3D-B5E8-F64B07922683}">
            <xm:f>MATCH($V$56,HOLIDAYS!$B$2:$B$22,0)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H57:H58</xm:sqref>
        </x14:conditionalFormatting>
        <x14:conditionalFormatting xmlns:xm="http://schemas.microsoft.com/office/excel/2006/main">
          <x14:cfRule type="expression" priority="445" id="{05D7934E-DA4F-48B1-8F4C-9B832C36DA67}">
            <xm:f>MATCH($O$56,HOLIDAYS!$B$2:$B$22,0)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W58:AB58</xm:sqref>
        </x14:conditionalFormatting>
        <x14:conditionalFormatting xmlns:xm="http://schemas.microsoft.com/office/excel/2006/main">
          <x14:cfRule type="expression" priority="443" id="{E75E1474-D999-4D90-861B-7FD81E5F393C}">
            <xm:f>MATCH($V$56,HOLIDAYS!$B$2:$B$22,0)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AC57:AC58</xm:sqref>
        </x14:conditionalFormatting>
        <x14:conditionalFormatting xmlns:xm="http://schemas.microsoft.com/office/excel/2006/main">
          <x14:cfRule type="expression" priority="433" id="{EAD26B1B-DC49-4CB0-A097-A91D301E81F4}">
            <xm:f>MATCH($H$20,HOLIDAYS!$B$2:$B$22,0)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B33:H34</xm:sqref>
        </x14:conditionalFormatting>
        <x14:conditionalFormatting xmlns:xm="http://schemas.microsoft.com/office/excel/2006/main">
          <x14:cfRule type="expression" priority="423" id="{822A7DA8-1FDC-40B5-9205-6A3A2D574B14}">
            <xm:f>MATCH($AC$20,HOLIDAYS!$B$2:$B$22,0)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W38:AC38</xm:sqref>
        </x14:conditionalFormatting>
        <x14:conditionalFormatting xmlns:xm="http://schemas.microsoft.com/office/excel/2006/main">
          <x14:cfRule type="expression" priority="414" id="{CC3F0193-BE3E-4031-882B-E02AEAEF6F1A}">
            <xm:f>MATCH($AC$20,HOLIDAYS!$B$2:$B$22,0)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W50:AC50</xm:sqref>
        </x14:conditionalFormatting>
        <x14:conditionalFormatting xmlns:xm="http://schemas.microsoft.com/office/excel/2006/main">
          <x14:cfRule type="expression" priority="405" id="{944C08C0-7977-4464-9340-A3299CA71FAF}">
            <xm:f>MATCH($AC$20,HOLIDAYS!$B$2:$B$22,0)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W62:AC62</xm:sqref>
        </x14:conditionalFormatting>
        <x14:conditionalFormatting xmlns:xm="http://schemas.microsoft.com/office/excel/2006/main">
          <x14:cfRule type="expression" priority="396" id="{60686665-F27F-4C01-90FE-BD6754318959}">
            <xm:f>MATCH($H$20,HOLIDAYS!$B$2:$B$22,0)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B45:H46 E47</xm:sqref>
        </x14:conditionalFormatting>
        <x14:conditionalFormatting xmlns:xm="http://schemas.microsoft.com/office/excel/2006/main">
          <x14:cfRule type="expression" priority="388" id="{A4C6EB14-1EC3-4A30-A9A1-8D7E32B958C4}">
            <xm:f>MATCH($O$44,HOLIDAYS!$B$2:$B$22,0)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T50:V50</xm:sqref>
        </x14:conditionalFormatting>
        <x14:conditionalFormatting xmlns:xm="http://schemas.microsoft.com/office/excel/2006/main">
          <x14:cfRule type="expression" priority="379" id="{490A890C-14EF-4F62-8602-5D19DC6B1A74}">
            <xm:f>MATCH($H$56,HOLIDAYS!$B$2:$B$22,0)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I59:O59</xm:sqref>
        </x14:conditionalFormatting>
        <x14:conditionalFormatting xmlns:xm="http://schemas.microsoft.com/office/excel/2006/main">
          <x14:cfRule type="expression" priority="372" id="{E44DB109-4868-444F-BEE0-DD87C5E42E9B}">
            <xm:f>MATCH($V$32,HOLIDAYS!$B$2:$B$22,0)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W39:Y39</xm:sqref>
        </x14:conditionalFormatting>
        <x14:conditionalFormatting xmlns:xm="http://schemas.microsoft.com/office/excel/2006/main">
          <x14:cfRule type="expression" priority="371" id="{5E35AAAD-B271-41FC-BC7C-9C8C5689CDB8}">
            <xm:f>MATCH($V$32,HOLIDAYS!$B$2:$B$22,0)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AA39:AC39</xm:sqref>
        </x14:conditionalFormatting>
        <x14:conditionalFormatting xmlns:xm="http://schemas.microsoft.com/office/excel/2006/main">
          <x14:cfRule type="expression" priority="362" id="{28B22433-8BE0-456C-AFA4-A2300C1C1348}">
            <xm:f>MATCH($H$56,HOLIDAYS!$B$2:$B$22,0)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B71:H71</xm:sqref>
        </x14:conditionalFormatting>
        <x14:conditionalFormatting xmlns:xm="http://schemas.microsoft.com/office/excel/2006/main">
          <x14:cfRule type="expression" priority="352" id="{921F194D-4C18-4319-BC21-EB6D0087F88A}">
            <xm:f>MATCH($V$56,HOLIDAYS!$B$2:$B$22,0)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W63:AC63</xm:sqref>
        </x14:conditionalFormatting>
        <x14:conditionalFormatting xmlns:xm="http://schemas.microsoft.com/office/excel/2006/main">
          <x14:cfRule type="expression" priority="342" id="{B60C9EB5-C1CF-4521-9432-A6B0EA71E243}">
            <xm:f>MATCH($H$20,HOLIDAYS!$B$2:$B$22,0)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I46:O46</xm:sqref>
        </x14:conditionalFormatting>
        <x14:conditionalFormatting xmlns:xm="http://schemas.microsoft.com/office/excel/2006/main">
          <x14:cfRule type="expression" priority="340" id="{1DAA40AD-1F97-4E9A-83EA-9E6C9CAD70F7}">
            <xm:f>MATCH($V$32,HOLIDAYS!$B$2:$B$22,0)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W40:Y40</xm:sqref>
        </x14:conditionalFormatting>
        <x14:conditionalFormatting xmlns:xm="http://schemas.microsoft.com/office/excel/2006/main">
          <x14:cfRule type="expression" priority="339" id="{4ACC5C1C-9903-47DB-8F83-BDD35B527ECE}">
            <xm:f>MATCH($V$32,HOLIDAYS!$B$2:$B$22,0)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AA40:AC40</xm:sqref>
        </x14:conditionalFormatting>
        <x14:conditionalFormatting xmlns:xm="http://schemas.microsoft.com/office/excel/2006/main">
          <x14:cfRule type="expression" priority="338" id="{B4637A2E-85DB-49C8-A9AA-3DF9DEEA648E}">
            <xm:f>MATCH($V$56,HOLIDAYS!$B$2:$B$22,0)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W64:AC64</xm:sqref>
        </x14:conditionalFormatting>
        <x14:conditionalFormatting xmlns:xm="http://schemas.microsoft.com/office/excel/2006/main">
          <x14:cfRule type="expression" priority="325" id="{D06978A0-B389-4160-9626-78B84CF7AB2C}">
            <xm:f>MATCH($V$44,HOLIDAYS!$B$2:$B$22,0)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Z51</xm:sqref>
        </x14:conditionalFormatting>
        <x14:conditionalFormatting xmlns:xm="http://schemas.microsoft.com/office/excel/2006/main">
          <x14:cfRule type="expression" priority="319" id="{70CE5036-AC59-441E-9DEC-B2882416B77D}">
            <xm:f>MATCH($O$44,HOLIDAYS!$B$2:$B$22,0)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W51:Y51</xm:sqref>
        </x14:conditionalFormatting>
        <x14:conditionalFormatting xmlns:xm="http://schemas.microsoft.com/office/excel/2006/main">
          <x14:cfRule type="expression" priority="318" id="{E821C530-C3B9-441D-8666-60A8F030AE68}">
            <xm:f>MATCH($O$44,HOLIDAYS!$B$2:$B$22,0)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AA51:AC51</xm:sqref>
        </x14:conditionalFormatting>
        <x14:conditionalFormatting xmlns:xm="http://schemas.microsoft.com/office/excel/2006/main">
          <x14:cfRule type="expression" priority="309" id="{EA9CCB69-0E04-4CDF-893A-CD20AECDDF0E}">
            <xm:f>MATCH($H$20,HOLIDAYS!$B$2:$B$22,0)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I45:O45</xm:sqref>
        </x14:conditionalFormatting>
        <x14:conditionalFormatting xmlns:xm="http://schemas.microsoft.com/office/excel/2006/main">
          <x14:cfRule type="expression" priority="299" id="{08620C8D-FB1E-482E-B69B-14CC6D5A05C3}">
            <xm:f>MATCH($AC$20,HOLIDAYS!$B$2:$B$22,0)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W52:AC52</xm:sqref>
        </x14:conditionalFormatting>
        <x14:conditionalFormatting xmlns:xm="http://schemas.microsoft.com/office/excel/2006/main">
          <x14:cfRule type="expression" priority="290" id="{1B2172AD-B670-4D36-90B6-9F3E5EF6AA6E}">
            <xm:f>MATCH($V$20,HOLIDAYS!$B$2:$B$22,0)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W27:AC27</xm:sqref>
        </x14:conditionalFormatting>
        <x14:conditionalFormatting xmlns:xm="http://schemas.microsoft.com/office/excel/2006/main">
          <x14:cfRule type="expression" priority="281" id="{11F2FB43-366D-47E7-961B-7157A7BD583B}">
            <xm:f>MATCH($V$20,HOLIDAYS!$B$2:$B$22,0)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AD26:AJ26</xm:sqref>
        </x14:conditionalFormatting>
        <x14:conditionalFormatting xmlns:xm="http://schemas.microsoft.com/office/excel/2006/main">
          <x14:cfRule type="expression" priority="272" id="{6268DCC9-8B99-498C-932E-142C42AD38C6}">
            <xm:f>MATCH($V$20,HOLIDAYS!$B$2:$B$22,0)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AD27:AJ27</xm:sqref>
        </x14:conditionalFormatting>
        <x14:conditionalFormatting xmlns:xm="http://schemas.microsoft.com/office/excel/2006/main">
          <x14:cfRule type="expression" priority="263" id="{9D1F372C-3ED8-4124-B4E3-ACF7A24ECE9F}">
            <xm:f>MATCH($V$20,HOLIDAYS!$B$2:$B$22,0)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AD21:AJ21</xm:sqref>
        </x14:conditionalFormatting>
        <x14:conditionalFormatting xmlns:xm="http://schemas.microsoft.com/office/excel/2006/main">
          <x14:cfRule type="expression" priority="254" id="{2B3048C4-4549-4602-94C3-FDE1CBE61378}">
            <xm:f>MATCH($V$20,HOLIDAYS!$B$2:$B$22,0)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B38:H38</xm:sqref>
        </x14:conditionalFormatting>
        <x14:conditionalFormatting xmlns:xm="http://schemas.microsoft.com/office/excel/2006/main">
          <x14:cfRule type="expression" priority="245" id="{725B0F70-3FA0-481D-8863-A538CDAED0FD}">
            <xm:f>MATCH($V$20,HOLIDAYS!$B$2:$B$22,0)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AD33:AJ33</xm:sqref>
        </x14:conditionalFormatting>
        <x14:conditionalFormatting xmlns:xm="http://schemas.microsoft.com/office/excel/2006/main">
          <x14:cfRule type="expression" priority="236" id="{8AA530F4-7827-421B-9C81-10AFA92B4771}">
            <xm:f>MATCH($V$20,HOLIDAYS!$B$2:$B$22,0)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AD34:AJ35</xm:sqref>
        </x14:conditionalFormatting>
        <x14:conditionalFormatting xmlns:xm="http://schemas.microsoft.com/office/excel/2006/main">
          <x14:cfRule type="expression" priority="227" id="{47ADB23C-1E9B-4897-B2EE-5524DF691880}">
            <xm:f>MATCH($V$20,HOLIDAYS!$B$2:$B$22,0)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B50:H50</xm:sqref>
        </x14:conditionalFormatting>
        <x14:conditionalFormatting xmlns:xm="http://schemas.microsoft.com/office/excel/2006/main">
          <x14:cfRule type="expression" priority="218" id="{5AFA9227-AC1C-4EFE-8BDB-95C9C26E47E0}">
            <xm:f>MATCH($V$20,HOLIDAYS!$B$2:$B$22,0)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B51:H52 E53</xm:sqref>
        </x14:conditionalFormatting>
        <x14:conditionalFormatting xmlns:xm="http://schemas.microsoft.com/office/excel/2006/main">
          <x14:cfRule type="expression" priority="209" id="{22826915-B276-4D62-B415-A6F1F717F0E0}">
            <xm:f>MATCH($H$20,HOLIDAYS!$B$2:$B$22,0)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I47</xm:sqref>
        </x14:conditionalFormatting>
        <x14:conditionalFormatting xmlns:xm="http://schemas.microsoft.com/office/excel/2006/main">
          <x14:cfRule type="expression" priority="207" id="{61A82767-047C-41D9-9A60-A018348DEF0D}">
            <xm:f>MATCH($H$20,HOLIDAYS!$B$2:$B$22,0)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L47:N47</xm:sqref>
        </x14:conditionalFormatting>
        <x14:conditionalFormatting xmlns:xm="http://schemas.microsoft.com/office/excel/2006/main">
          <x14:cfRule type="expression" priority="200" id="{61B3915F-99D1-4A6C-8885-352BCB46B055}">
            <xm:f>MATCH($O$44,HOLIDAYS!$B$2:$B$22,0)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Q51:R51</xm:sqref>
        </x14:conditionalFormatting>
        <x14:conditionalFormatting xmlns:xm="http://schemas.microsoft.com/office/excel/2006/main">
          <x14:cfRule type="expression" priority="194" id="{31304D36-9D9E-4E3E-8859-C6ACB2B7D8AA}">
            <xm:f>MATCH($H$20,HOLIDAYS!$B$2:$B$22,0)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P50:R50</xm:sqref>
        </x14:conditionalFormatting>
        <x14:conditionalFormatting xmlns:xm="http://schemas.microsoft.com/office/excel/2006/main">
          <x14:cfRule type="expression" priority="192" id="{5B9A77CD-E392-4FA1-8CF8-3727CB56A3E9}">
            <xm:f>MATCH($H$20,HOLIDAYS!$B$2:$B$22,0)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P51</xm:sqref>
        </x14:conditionalFormatting>
        <x14:conditionalFormatting xmlns:xm="http://schemas.microsoft.com/office/excel/2006/main">
          <x14:cfRule type="expression" priority="190" id="{1B210944-858D-4EC5-BCFA-80965EB526A3}">
            <xm:f>MATCH($O$44,HOLIDAYS!$B$2:$B$22,0)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V51</xm:sqref>
        </x14:conditionalFormatting>
        <x14:conditionalFormatting xmlns:xm="http://schemas.microsoft.com/office/excel/2006/main">
          <x14:cfRule type="expression" priority="184" id="{67495057-4972-4958-A715-015EE9A244D0}">
            <xm:f>MATCH($O$44,HOLIDAYS!$B$2:$B$22,0)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P64:Q64</xm:sqref>
        </x14:conditionalFormatting>
        <x14:conditionalFormatting xmlns:xm="http://schemas.microsoft.com/office/excel/2006/main">
          <x14:cfRule type="expression" priority="180" id="{0C9CC00E-7CC1-41DF-89A6-907D3A3EDB9F}">
            <xm:f>MATCH($V$56,HOLIDAYS!$B$2:$B$22,0)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AF62:AJ62</xm:sqref>
        </x14:conditionalFormatting>
        <x14:conditionalFormatting xmlns:xm="http://schemas.microsoft.com/office/excel/2006/main">
          <x14:cfRule type="expression" priority="173" id="{21F67B59-F7F9-4E49-B8F1-B0B1B52EEF9B}">
            <xm:f>MATCH($O$44,HOLIDAYS!$B$2:$B$22,0)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AD62:AE62</xm:sqref>
        </x14:conditionalFormatting>
        <x14:conditionalFormatting xmlns:xm="http://schemas.microsoft.com/office/excel/2006/main">
          <x14:cfRule type="expression" priority="172" id="{2978764D-746B-407E-BF90-A2EF2DCA98C2}">
            <xm:f>MATCH($V$20,HOLIDAYS!$B$2:$B$22,0)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AC33</xm:sqref>
        </x14:conditionalFormatting>
        <x14:conditionalFormatting xmlns:xm="http://schemas.microsoft.com/office/excel/2006/main">
          <x14:cfRule type="expression" priority="163" id="{14EC8B4D-1541-45E8-99C1-175AD5FA92AD}">
            <xm:f>MATCH($AC$32,HOLIDAYS!$B$2:$B$22,0)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AD38:AI38 AG39</xm:sqref>
        </x14:conditionalFormatting>
        <x14:conditionalFormatting xmlns:xm="http://schemas.microsoft.com/office/excel/2006/main">
          <x14:cfRule type="expression" priority="162" id="{02A2E7BB-2332-4BE8-9D56-9A2182C643EC}">
            <xm:f>MATCH($V$20,HOLIDAYS!$B$2:$B$22,0)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AJ38</xm:sqref>
        </x14:conditionalFormatting>
        <x14:conditionalFormatting xmlns:xm="http://schemas.microsoft.com/office/excel/2006/main">
          <x14:cfRule type="expression" priority="161" id="{1266EC41-29D9-4EA6-BB38-48DFCC1615B7}">
            <xm:f>MATCH($V$20,HOLIDAYS!$B$2:$B$22,0)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AJ22</xm:sqref>
        </x14:conditionalFormatting>
        <x14:conditionalFormatting xmlns:xm="http://schemas.microsoft.com/office/excel/2006/main">
          <x14:cfRule type="expression" priority="152" id="{EC5E04E0-640C-470D-9A18-A3828099BC1B}">
            <xm:f>MATCH($AJ$20,HOLIDAYS!$B$2:$B$22,0)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B39:G39</xm:sqref>
        </x14:conditionalFormatting>
        <x14:conditionalFormatting xmlns:xm="http://schemas.microsoft.com/office/excel/2006/main">
          <x14:cfRule type="expression" priority="151" id="{187AC98A-A7E9-4839-9593-C0F65E925650}">
            <xm:f>MATCH($V$20,HOLIDAYS!$B$2:$B$22,0)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H39</xm:sqref>
        </x14:conditionalFormatting>
        <x14:conditionalFormatting xmlns:xm="http://schemas.microsoft.com/office/excel/2006/main">
          <x14:cfRule type="expression" priority="150" id="{1478CC42-8D4F-441C-AB7F-E94470103A62}">
            <xm:f>MATCH($H$56,HOLIDAYS!$B$2:$B$22,0)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H72</xm:sqref>
        </x14:conditionalFormatting>
        <x14:conditionalFormatting xmlns:xm="http://schemas.microsoft.com/office/excel/2006/main">
          <x14:cfRule type="expression" priority="148" id="{99AC79D5-0DE7-4722-A32E-B4EC592CBF8F}">
            <xm:f>MATCH($H$56,HOLIDAYS!$B$2:$B$22,0)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H76</xm:sqref>
        </x14:conditionalFormatting>
        <x14:conditionalFormatting xmlns:xm="http://schemas.microsoft.com/office/excel/2006/main">
          <x14:cfRule type="expression" priority="146" id="{61C0F931-6C0F-45BC-98E5-30515A20DDE3}">
            <xm:f>MATCH($H$56,HOLIDAYS!$B$2:$B$22,0)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I60:O60</xm:sqref>
        </x14:conditionalFormatting>
        <x14:conditionalFormatting xmlns:xm="http://schemas.microsoft.com/office/excel/2006/main">
          <x14:cfRule type="expression" priority="136" id="{2492F04E-23D8-499D-B67F-991056F4B593}">
            <xm:f>MATCH($H$56,HOLIDAYS!$B$2:$B$22,0)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P66:V66</xm:sqref>
        </x14:conditionalFormatting>
        <x14:conditionalFormatting xmlns:xm="http://schemas.microsoft.com/office/excel/2006/main">
          <x14:cfRule type="expression" priority="134" id="{2D4A801D-A3FA-4212-9288-C56F33070586}">
            <xm:f>MATCH($V$20,HOLIDAYS!$B$2:$B$22,0)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AJ45</xm:sqref>
        </x14:conditionalFormatting>
        <x14:conditionalFormatting xmlns:xm="http://schemas.microsoft.com/office/excel/2006/main">
          <x14:cfRule type="expression" priority="125" id="{EDC9DB9E-9793-497C-BD23-01C35458539B}">
            <xm:f>MATCH($AJ$44,HOLIDAYS!$B$2:$B$22,0)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B62:G63 E63:E64</xm:sqref>
        </x14:conditionalFormatting>
        <x14:conditionalFormatting xmlns:xm="http://schemas.microsoft.com/office/excel/2006/main">
          <x14:cfRule type="expression" priority="124" id="{457DF7F3-7879-41DC-8CE8-A1776EE4DB11}">
            <xm:f>MATCH($V$20,HOLIDAYS!$B$2:$B$22,0)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H62:H63</xm:sqref>
        </x14:conditionalFormatting>
        <x14:conditionalFormatting xmlns:xm="http://schemas.microsoft.com/office/excel/2006/main">
          <x14:cfRule type="expression" priority="123" id="{302DC133-77AF-46F4-8A81-B71605924A97}">
            <xm:f>MATCH($AJ$44,HOLIDAYS!$B$2:$B$22,0)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Y45</xm:sqref>
        </x14:conditionalFormatting>
        <x14:conditionalFormatting xmlns:xm="http://schemas.microsoft.com/office/excel/2006/main">
          <x14:cfRule type="expression" priority="117" id="{E9205039-4166-4799-A8F9-934F431833B4}">
            <xm:f>MATCH($AC$44,HOLIDAYS!$B$2:$B$22,0)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B64:D64</xm:sqref>
        </x14:conditionalFormatting>
        <x14:conditionalFormatting xmlns:xm="http://schemas.microsoft.com/office/excel/2006/main">
          <x14:cfRule type="expression" priority="116" id="{DBAADB28-55D1-4704-8B6A-BF7FECBBE3B0}">
            <xm:f>MATCH($V$20,HOLIDAYS!$B$2:$B$22,0)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AC46</xm:sqref>
        </x14:conditionalFormatting>
        <x14:conditionalFormatting xmlns:xm="http://schemas.microsoft.com/office/excel/2006/main">
          <x14:cfRule type="expression" priority="115" id="{5B75ED1A-CDE7-48FE-B667-8DB5E41AEC55}">
            <xm:f>MATCH($H$56,HOLIDAYS!$B$2:$B$22,0)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AA65:AC65</xm:sqref>
        </x14:conditionalFormatting>
        <x14:conditionalFormatting xmlns:xm="http://schemas.microsoft.com/office/excel/2006/main">
          <x14:cfRule type="expression" priority="110" id="{D590F9F4-80E0-4394-8E23-A7C62D1C5812}">
            <xm:f>MATCH($AJ$44,HOLIDAYS!$B$2:$B$22,0)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Z65</xm:sqref>
        </x14:conditionalFormatting>
        <x14:conditionalFormatting xmlns:xm="http://schemas.microsoft.com/office/excel/2006/main">
          <x14:cfRule type="expression" priority="104" id="{D996FF5D-C315-4A79-8A52-7CB46CDD5872}">
            <xm:f>MATCH($AC$44,HOLIDAYS!$B$2:$B$22,0)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W65:Y65</xm:sqref>
        </x14:conditionalFormatting>
        <x14:conditionalFormatting xmlns:xm="http://schemas.microsoft.com/office/excel/2006/main">
          <x14:cfRule type="expression" priority="95" id="{3A88EC89-8AF3-4B7A-9FFA-1DC0889EEEF8}">
            <xm:f>MATCH($AJ$32,HOLIDAYS!$B$2:$B$22,0)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B53:D53 F53:H53</xm:sqref>
        </x14:conditionalFormatting>
        <x14:conditionalFormatting xmlns:xm="http://schemas.microsoft.com/office/excel/2006/main">
          <x14:cfRule type="expression" priority="89" id="{73FF884D-3250-4464-B485-AA8DD61A1A1D}">
            <xm:f>MATCH($AJ$32,HOLIDAYS!$B$2:$B$22,0)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I51:K51</xm:sqref>
        </x14:conditionalFormatting>
        <x14:conditionalFormatting xmlns:xm="http://schemas.microsoft.com/office/excel/2006/main">
          <x14:cfRule type="expression" priority="85" id="{0B9CE77B-F7EF-4601-A498-6DDFD9682FD0}">
            <xm:f>MATCH($V$20,HOLIDAYS!$B$2:$B$22,0)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L64:L65</xm:sqref>
        </x14:conditionalFormatting>
        <x14:conditionalFormatting xmlns:xm="http://schemas.microsoft.com/office/excel/2006/main">
          <x14:cfRule type="expression" priority="79" id="{4F9AEF90-334F-4F3F-AF4F-370EEA919C73}">
            <xm:f>MATCH($AJ$32,HOLIDAYS!$B$2:$B$22,0)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I65:K65 M65:O65</xm:sqref>
        </x14:conditionalFormatting>
        <x14:conditionalFormatting xmlns:xm="http://schemas.microsoft.com/office/excel/2006/main">
          <x14:cfRule type="expression" priority="70" id="{F9401A1E-811F-49E4-949B-A6A66AC16CD4}">
            <xm:f>MATCH($AC$32,HOLIDAYS!$B$2:$B$22,0)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AD39:AF39 AH39:AJ39</xm:sqref>
        </x14:conditionalFormatting>
        <x14:conditionalFormatting xmlns:xm="http://schemas.microsoft.com/office/excel/2006/main">
          <x14:cfRule type="expression" priority="64" id="{40FB20B2-89DE-461B-AFC0-1EBBA0E5B6AC}">
            <xm:f>MATCH($H$44,HOLIDAYS!$B$2:$B$22,0)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I52:K52 M52:R52 T52:V52</xm:sqref>
        </x14:conditionalFormatting>
        <x14:conditionalFormatting xmlns:xm="http://schemas.microsoft.com/office/excel/2006/main">
          <x14:cfRule type="expression" priority="55" id="{305706B6-CC3C-43AE-B4CF-5AAD923ED277}">
            <xm:f>MATCH($O$44,HOLIDAYS!$B$2:$B$22,0)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S52</xm:sqref>
        </x14:conditionalFormatting>
        <x14:conditionalFormatting xmlns:xm="http://schemas.microsoft.com/office/excel/2006/main">
          <x14:cfRule type="expression" priority="49" id="{BD3BAFB0-8309-4CAB-92E5-2162ABC735BC}">
            <xm:f>MATCH($H$56,HOLIDAYS!$B$2:$B$22,0)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B58:D58</xm:sqref>
        </x14:conditionalFormatting>
        <x14:conditionalFormatting xmlns:xm="http://schemas.microsoft.com/office/excel/2006/main">
          <x14:cfRule type="expression" priority="47" id="{7FF4767E-DAFE-410C-A5AE-3E6655DA65C3}">
            <xm:f>MATCH($O$56,HOLIDAYS!$B$2:$B$22,0)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B57:D57</xm:sqref>
        </x14:conditionalFormatting>
        <x14:conditionalFormatting xmlns:xm="http://schemas.microsoft.com/office/excel/2006/main">
          <x14:cfRule type="expression" priority="45" id="{3F793214-8FD1-4F6E-A87D-34FA2D6C5FAF}">
            <xm:f>MATCH($H$56,HOLIDAYS!$B$2:$B$22,0)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F58:H58</xm:sqref>
        </x14:conditionalFormatting>
        <x14:conditionalFormatting xmlns:xm="http://schemas.microsoft.com/office/excel/2006/main">
          <x14:cfRule type="expression" priority="43" id="{291F5AF8-A0EC-425A-A8A2-9FEE9F3C333C}">
            <xm:f>MATCH($O$56,HOLIDAYS!$B$2:$B$22,0)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F57:G57</xm:sqref>
        </x14:conditionalFormatting>
        <x14:conditionalFormatting xmlns:xm="http://schemas.microsoft.com/office/excel/2006/main">
          <x14:cfRule type="expression" priority="41" id="{D37F93EA-CB89-4665-8B17-05485F0078B6}">
            <xm:f>MATCH($V$56,HOLIDAYS!$B$2:$B$22,0)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I57:O57</xm:sqref>
        </x14:conditionalFormatting>
        <x14:conditionalFormatting xmlns:xm="http://schemas.microsoft.com/office/excel/2006/main">
          <x14:cfRule type="expression" priority="39" id="{F9351762-3CFD-4FD0-8C5C-612CC264369B}">
            <xm:f>MATCH($H$56,HOLIDAYS!$B$2:$B$22,0)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I58:O58</xm:sqref>
        </x14:conditionalFormatting>
        <x14:conditionalFormatting xmlns:xm="http://schemas.microsoft.com/office/excel/2006/main">
          <x14:cfRule type="expression" priority="37" id="{7277191F-297A-49FA-965A-ADE46E9D6DC7}">
            <xm:f>MATCH($H$56,HOLIDAYS!$B$2:$B$22,0)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I59:O59</xm:sqref>
        </x14:conditionalFormatting>
        <x14:conditionalFormatting xmlns:xm="http://schemas.microsoft.com/office/excel/2006/main">
          <x14:cfRule type="expression" priority="35" id="{90531281-9A4F-4ED8-9835-070D6645B26A}">
            <xm:f>MATCH($AJ$32,HOLIDAYS!$B$2:$B$22,0)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I64:K64 M64:O64</xm:sqref>
        </x14:conditionalFormatting>
        <x14:conditionalFormatting xmlns:xm="http://schemas.microsoft.com/office/excel/2006/main">
          <x14:cfRule type="expression" priority="34" id="{24731657-09B2-4787-AF34-4D96DE4C2E9A}">
            <xm:f>MATCH($O$44,HOLIDAYS!$B$2:$B$22,0)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P63:Q63</xm:sqref>
        </x14:conditionalFormatting>
        <x14:conditionalFormatting xmlns:xm="http://schemas.microsoft.com/office/excel/2006/main">
          <x14:cfRule type="expression" priority="33" id="{AB5722AC-C7F6-4E3B-B327-DBE82E865283}">
            <xm:f>MATCH($H$56,HOLIDAYS!$B$2:$B$22,0)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P65:V65</xm:sqref>
        </x14:conditionalFormatting>
        <x14:conditionalFormatting xmlns:xm="http://schemas.microsoft.com/office/excel/2006/main">
          <x14:cfRule type="expression" priority="31" id="{2A0DE60B-1165-44FC-B893-A64325A10716}">
            <xm:f>MATCH($H$56,HOLIDAYS!$B$2:$B$22,0)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F63:H63</xm:sqref>
        </x14:conditionalFormatting>
        <x14:conditionalFormatting xmlns:xm="http://schemas.microsoft.com/office/excel/2006/main">
          <x14:cfRule type="expression" priority="29" id="{F9FC648C-5FCA-439E-9139-8D19A7419B13}">
            <xm:f>MATCH($AC$44,HOLIDAYS!$B$2:$B$22,0)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B63:D63</xm:sqref>
        </x14:conditionalFormatting>
        <x14:conditionalFormatting xmlns:xm="http://schemas.microsoft.com/office/excel/2006/main">
          <x14:cfRule type="expression" priority="8" id="{46D3F417-8DB5-4A30-8483-EC932F30BF72}">
            <xm:f>MATCH($AJ$56,HOLIDAYS!$B$2:$B$22,0)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AD65:AF65 AH65:AJ65</xm:sqref>
        </x14:conditionalFormatting>
        <x14:conditionalFormatting xmlns:xm="http://schemas.microsoft.com/office/excel/2006/main">
          <x14:cfRule type="expression" priority="6" id="{EAEB22B5-2C4A-45A7-BE0D-747BD9D96A76}">
            <xm:f>MATCH($H$20,HOLIDAYS!$B$2:$B$22,0)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K27</xm:sqref>
        </x14:conditionalFormatting>
        <x14:conditionalFormatting xmlns:xm="http://schemas.microsoft.com/office/excel/2006/main">
          <x14:cfRule type="expression" priority="4" id="{4A3D30B3-7516-47C1-9F00-5D20F0A4E444}">
            <xm:f>MATCH($O$56,HOLIDAYS!$B$2:$B$22,0)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W57:AB57</xm:sqref>
        </x14:conditionalFormatting>
        <x14:conditionalFormatting xmlns:xm="http://schemas.microsoft.com/office/excel/2006/main">
          <x14:cfRule type="expression" priority="2" id="{D463EF67-1640-41C8-9555-24F2816F8120}">
            <xm:f>MATCH($AJ$56,HOLIDAYS!$B$2:$B$22,0)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W59:Y59 AA59:AC59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CD362-001D-D64D-879E-87A3D0B66C8C}">
  <sheetPr codeName="Sheet1">
    <tabColor theme="0" tint="-0.34998626667073579"/>
  </sheetPr>
  <dimension ref="A1:AW83"/>
  <sheetViews>
    <sheetView showZeros="0" topLeftCell="N1" zoomScale="55" zoomScaleNormal="55" zoomScaleSheetLayoutView="41" workbookViewId="0">
      <pane ySplit="7" topLeftCell="A8" activePane="bottomLeft" state="frozen"/>
      <selection pane="bottomLeft" activeCell="AL8" sqref="AL8"/>
    </sheetView>
  </sheetViews>
  <sheetFormatPr defaultColWidth="11.875" defaultRowHeight="18"/>
  <cols>
    <col min="1" max="1" width="7.375" style="11" customWidth="1"/>
    <col min="2" max="2" width="13" style="11" customWidth="1"/>
    <col min="3" max="3" width="11.875" style="11"/>
    <col min="4" max="4" width="39.625" style="11" customWidth="1"/>
    <col min="5" max="5" width="16" style="11" bestFit="1" customWidth="1"/>
    <col min="6" max="7" width="7.5" style="11" customWidth="1"/>
    <col min="8" max="8" width="11.875" style="11"/>
    <col min="9" max="9" width="13" style="11" customWidth="1"/>
    <col min="10" max="10" width="11.875" style="11"/>
    <col min="11" max="11" width="39.625" style="11" customWidth="1"/>
    <col min="12" max="12" width="16" style="11" bestFit="1" customWidth="1"/>
    <col min="13" max="14" width="7.5" style="11" customWidth="1"/>
    <col min="15" max="15" width="11.875" style="11" customWidth="1"/>
    <col min="16" max="16" width="13" style="11" customWidth="1"/>
    <col min="17" max="17" width="11.875" style="11"/>
    <col min="18" max="18" width="39.625" style="11" customWidth="1"/>
    <col min="19" max="19" width="16" style="11" bestFit="1" customWidth="1"/>
    <col min="20" max="21" width="7.5" style="11" customWidth="1"/>
    <col min="22" max="22" width="11.875" style="11"/>
    <col min="23" max="23" width="13" style="11" customWidth="1"/>
    <col min="24" max="24" width="11.875" style="11"/>
    <col min="25" max="25" width="39.625" style="11" customWidth="1"/>
    <col min="26" max="26" width="16" style="11" bestFit="1" customWidth="1"/>
    <col min="27" max="28" width="7.5" style="11" customWidth="1"/>
    <col min="29" max="29" width="11.875" style="11"/>
    <col min="30" max="30" width="13" style="11" customWidth="1"/>
    <col min="31" max="31" width="11.875" style="11"/>
    <col min="32" max="32" width="39.625" style="11" customWidth="1"/>
    <col min="33" max="33" width="16" style="11" bestFit="1" customWidth="1"/>
    <col min="34" max="35" width="7.5" style="11" customWidth="1"/>
    <col min="36" max="36" width="11.875" style="11"/>
    <col min="37" max="37" width="8.625" style="11" customWidth="1"/>
    <col min="38" max="38" width="7.125" style="11" customWidth="1"/>
    <col min="39" max="39" width="12.375" style="11" customWidth="1"/>
    <col min="40" max="40" width="11.875" style="11"/>
    <col min="41" max="41" width="4.625" style="11" customWidth="1"/>
    <col min="42" max="42" width="6" style="11" customWidth="1"/>
    <col min="43" max="49" width="5.5" style="11" customWidth="1"/>
    <col min="50" max="16384" width="11.875" style="11"/>
  </cols>
  <sheetData>
    <row r="1" spans="1:49" ht="45" customHeight="1" thickBot="1">
      <c r="A1" s="8"/>
      <c r="B1" s="154">
        <f>DATE(AN2,AN5,1)</f>
        <v>45170</v>
      </c>
      <c r="C1" s="155"/>
      <c r="D1" s="155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10"/>
      <c r="AK1" s="8"/>
      <c r="AL1" s="64"/>
      <c r="AM1" s="156" t="s">
        <v>66</v>
      </c>
      <c r="AN1" s="156"/>
      <c r="AO1" s="156"/>
      <c r="AP1" s="12"/>
    </row>
    <row r="2" spans="1:49" ht="26.1" customHeight="1" thickBot="1">
      <c r="A2" s="8"/>
      <c r="B2" s="157" t="s">
        <v>67</v>
      </c>
      <c r="C2" s="156"/>
      <c r="D2" s="156"/>
      <c r="E2" s="156"/>
      <c r="F2" s="156"/>
      <c r="G2" s="156"/>
      <c r="H2" s="158"/>
      <c r="I2" s="157" t="s">
        <v>68</v>
      </c>
      <c r="J2" s="156"/>
      <c r="K2" s="156"/>
      <c r="L2" s="156"/>
      <c r="M2" s="156"/>
      <c r="N2" s="156"/>
      <c r="O2" s="158"/>
      <c r="P2" s="157" t="s">
        <v>69</v>
      </c>
      <c r="Q2" s="156"/>
      <c r="R2" s="156"/>
      <c r="S2" s="156"/>
      <c r="T2" s="156"/>
      <c r="U2" s="156"/>
      <c r="V2" s="158"/>
      <c r="W2" s="157" t="s">
        <v>70</v>
      </c>
      <c r="X2" s="156"/>
      <c r="Y2" s="156"/>
      <c r="Z2" s="156"/>
      <c r="AA2" s="156"/>
      <c r="AB2" s="156"/>
      <c r="AC2" s="158"/>
      <c r="AD2" s="157" t="s">
        <v>71</v>
      </c>
      <c r="AE2" s="156"/>
      <c r="AF2" s="156"/>
      <c r="AG2" s="156"/>
      <c r="AH2" s="156"/>
      <c r="AI2" s="156"/>
      <c r="AJ2" s="158"/>
      <c r="AK2" s="8"/>
      <c r="AL2" s="8"/>
      <c r="AM2" s="148" t="s">
        <v>72</v>
      </c>
      <c r="AN2" s="150">
        <v>2023</v>
      </c>
      <c r="AO2" s="13"/>
      <c r="AQ2" s="7"/>
      <c r="AR2" s="7"/>
      <c r="AS2" s="7"/>
      <c r="AT2" s="7"/>
      <c r="AU2" s="7"/>
      <c r="AV2" s="7"/>
      <c r="AW2" s="7"/>
    </row>
    <row r="3" spans="1:49" ht="18.75" thickBot="1">
      <c r="A3" s="8"/>
      <c r="B3" s="14" t="s">
        <v>73</v>
      </c>
      <c r="C3" s="15" t="s">
        <v>74</v>
      </c>
      <c r="D3" s="15" t="s">
        <v>75</v>
      </c>
      <c r="E3" s="15" t="s">
        <v>76</v>
      </c>
      <c r="F3" s="15" t="s">
        <v>77</v>
      </c>
      <c r="G3" s="15" t="s">
        <v>78</v>
      </c>
      <c r="H3" s="16" t="s">
        <v>79</v>
      </c>
      <c r="I3" s="14" t="s">
        <v>73</v>
      </c>
      <c r="J3" s="15" t="s">
        <v>74</v>
      </c>
      <c r="K3" s="15" t="s">
        <v>75</v>
      </c>
      <c r="L3" s="15" t="s">
        <v>76</v>
      </c>
      <c r="M3" s="15" t="s">
        <v>77</v>
      </c>
      <c r="N3" s="15" t="s">
        <v>78</v>
      </c>
      <c r="O3" s="16" t="s">
        <v>79</v>
      </c>
      <c r="P3" s="14" t="s">
        <v>73</v>
      </c>
      <c r="Q3" s="15" t="s">
        <v>74</v>
      </c>
      <c r="R3" s="15" t="s">
        <v>75</v>
      </c>
      <c r="S3" s="15" t="s">
        <v>76</v>
      </c>
      <c r="T3" s="15" t="s">
        <v>77</v>
      </c>
      <c r="U3" s="15" t="s">
        <v>78</v>
      </c>
      <c r="V3" s="16" t="s">
        <v>79</v>
      </c>
      <c r="W3" s="14" t="s">
        <v>73</v>
      </c>
      <c r="X3" s="15" t="s">
        <v>74</v>
      </c>
      <c r="Y3" s="15" t="s">
        <v>75</v>
      </c>
      <c r="Z3" s="15" t="s">
        <v>76</v>
      </c>
      <c r="AA3" s="15" t="s">
        <v>77</v>
      </c>
      <c r="AB3" s="15" t="s">
        <v>78</v>
      </c>
      <c r="AC3" s="16" t="s">
        <v>79</v>
      </c>
      <c r="AD3" s="14" t="s">
        <v>73</v>
      </c>
      <c r="AE3" s="15" t="s">
        <v>74</v>
      </c>
      <c r="AF3" s="15" t="s">
        <v>75</v>
      </c>
      <c r="AG3" s="15" t="s">
        <v>76</v>
      </c>
      <c r="AH3" s="15" t="s">
        <v>77</v>
      </c>
      <c r="AI3" s="15" t="s">
        <v>78</v>
      </c>
      <c r="AJ3" s="16" t="s">
        <v>79</v>
      </c>
      <c r="AK3" s="8"/>
      <c r="AL3" s="8"/>
      <c r="AM3" s="149"/>
      <c r="AN3" s="151"/>
      <c r="AO3" s="17"/>
      <c r="AQ3" s="7"/>
      <c r="AR3" s="7"/>
      <c r="AS3" s="7"/>
      <c r="AT3" s="7"/>
      <c r="AU3" s="7"/>
      <c r="AV3" s="7"/>
      <c r="AW3" s="7"/>
    </row>
    <row r="4" spans="1:49" ht="18.75" thickBot="1">
      <c r="A4" s="8"/>
      <c r="B4" s="18"/>
      <c r="C4" s="19"/>
      <c r="D4" s="19"/>
      <c r="E4" s="19"/>
      <c r="F4" s="19"/>
      <c r="G4" s="19"/>
      <c r="H4" s="20"/>
      <c r="I4" s="18"/>
      <c r="J4" s="19"/>
      <c r="K4" s="19"/>
      <c r="L4" s="19"/>
      <c r="M4" s="19"/>
      <c r="N4" s="19"/>
      <c r="O4" s="20"/>
      <c r="P4" s="18"/>
      <c r="Q4" s="19"/>
      <c r="R4" s="19"/>
      <c r="S4" s="19"/>
      <c r="T4" s="19"/>
      <c r="U4" s="19"/>
      <c r="V4" s="20"/>
      <c r="W4" s="18"/>
      <c r="X4" s="19"/>
      <c r="Y4" s="19"/>
      <c r="Z4" s="19"/>
      <c r="AA4" s="19"/>
      <c r="AB4" s="19"/>
      <c r="AC4" s="20"/>
      <c r="AD4" s="18"/>
      <c r="AE4" s="19"/>
      <c r="AF4" s="19"/>
      <c r="AG4" s="19"/>
      <c r="AH4" s="19"/>
      <c r="AI4" s="19"/>
      <c r="AJ4" s="20"/>
      <c r="AK4" s="8"/>
      <c r="AL4" s="8"/>
      <c r="AM4" s="21"/>
      <c r="AN4" s="21"/>
      <c r="AQ4" s="7"/>
      <c r="AR4" s="7"/>
      <c r="AS4" s="7"/>
      <c r="AT4" s="7"/>
      <c r="AU4" s="7"/>
      <c r="AV4" s="7"/>
      <c r="AW4" s="7"/>
    </row>
    <row r="5" spans="1:49" ht="19.5">
      <c r="A5" s="8"/>
      <c r="B5" s="22"/>
      <c r="C5" s="4" t="s">
        <v>80</v>
      </c>
      <c r="D5" s="4"/>
      <c r="E5" s="3"/>
      <c r="F5" s="23"/>
      <c r="G5" s="3"/>
      <c r="H5" s="24"/>
      <c r="I5" s="22"/>
      <c r="J5" s="5" t="s">
        <v>81</v>
      </c>
      <c r="K5" s="6"/>
      <c r="L5" s="25"/>
      <c r="M5" s="25"/>
      <c r="N5" s="25"/>
      <c r="O5" s="24"/>
      <c r="P5" s="22"/>
      <c r="Q5" s="5" t="s">
        <v>82</v>
      </c>
      <c r="R5" s="6"/>
      <c r="S5" s="25"/>
      <c r="T5" s="25"/>
      <c r="U5" s="25"/>
      <c r="V5" s="24"/>
      <c r="W5" s="22"/>
      <c r="X5" s="25"/>
      <c r="Y5" s="25"/>
      <c r="Z5" s="25"/>
      <c r="AA5" s="25"/>
      <c r="AB5" s="25"/>
      <c r="AC5" s="24"/>
      <c r="AD5" s="22"/>
      <c r="AE5" s="5" t="s">
        <v>83</v>
      </c>
      <c r="AF5" s="6"/>
      <c r="AG5" s="25"/>
      <c r="AH5" s="25"/>
      <c r="AI5" s="25"/>
      <c r="AJ5" s="24"/>
      <c r="AK5" s="8"/>
      <c r="AL5" s="8"/>
      <c r="AM5" s="148" t="s">
        <v>84</v>
      </c>
      <c r="AN5" s="150">
        <v>9</v>
      </c>
      <c r="AO5" s="13"/>
      <c r="AQ5" s="7"/>
      <c r="AR5" s="7"/>
      <c r="AS5" s="7"/>
      <c r="AT5" s="7"/>
      <c r="AU5" s="7"/>
      <c r="AV5" s="7"/>
      <c r="AW5" s="7"/>
    </row>
    <row r="6" spans="1:49" ht="18.75" thickBot="1">
      <c r="A6" s="8"/>
      <c r="B6" s="22"/>
      <c r="C6" s="4" t="s">
        <v>85</v>
      </c>
      <c r="D6" s="4"/>
      <c r="E6" s="3"/>
      <c r="F6" s="23"/>
      <c r="G6" s="3"/>
      <c r="H6" s="24"/>
      <c r="I6" s="22"/>
      <c r="J6" s="6" t="s">
        <v>86</v>
      </c>
      <c r="K6" s="6"/>
      <c r="L6" s="25"/>
      <c r="M6" s="25"/>
      <c r="N6" s="25"/>
      <c r="O6" s="24"/>
      <c r="P6" s="22"/>
      <c r="Q6" s="6" t="s">
        <v>87</v>
      </c>
      <c r="R6" s="6"/>
      <c r="S6" s="25"/>
      <c r="T6" s="25"/>
      <c r="U6" s="25"/>
      <c r="V6" s="24"/>
      <c r="W6" s="22"/>
      <c r="X6" s="25"/>
      <c r="Y6" s="25"/>
      <c r="Z6" s="25"/>
      <c r="AA6" s="25"/>
      <c r="AB6" s="25"/>
      <c r="AC6" s="24"/>
      <c r="AD6" s="22"/>
      <c r="AE6" s="6" t="s">
        <v>86</v>
      </c>
      <c r="AF6" s="6"/>
      <c r="AG6" s="25"/>
      <c r="AH6" s="25"/>
      <c r="AI6" s="25"/>
      <c r="AJ6" s="24"/>
      <c r="AK6" s="8"/>
      <c r="AL6" s="8"/>
      <c r="AM6" s="149"/>
      <c r="AN6" s="151"/>
      <c r="AO6" s="17"/>
      <c r="AQ6" s="7"/>
      <c r="AR6" s="7"/>
      <c r="AS6" s="7"/>
      <c r="AT6" s="7"/>
      <c r="AU6" s="7"/>
      <c r="AV6" s="7"/>
      <c r="AW6" s="7"/>
    </row>
    <row r="7" spans="1:49" ht="18.75" thickBot="1">
      <c r="A7" s="8"/>
      <c r="B7" s="26"/>
      <c r="C7" s="27"/>
      <c r="D7" s="27"/>
      <c r="E7" s="27"/>
      <c r="F7" s="27"/>
      <c r="G7" s="27"/>
      <c r="H7" s="28"/>
      <c r="I7" s="26"/>
      <c r="J7" s="27"/>
      <c r="K7" s="27"/>
      <c r="L7" s="27"/>
      <c r="M7" s="27"/>
      <c r="N7" s="27"/>
      <c r="O7" s="28"/>
      <c r="P7" s="26"/>
      <c r="Q7" s="27"/>
      <c r="R7" s="27"/>
      <c r="S7" s="27"/>
      <c r="T7" s="27"/>
      <c r="U7" s="27"/>
      <c r="V7" s="28"/>
      <c r="W7" s="26"/>
      <c r="X7" s="27"/>
      <c r="Y7" s="27"/>
      <c r="Z7" s="27"/>
      <c r="AA7" s="27"/>
      <c r="AB7" s="27"/>
      <c r="AC7" s="28"/>
      <c r="AD7" s="26"/>
      <c r="AE7" s="27"/>
      <c r="AF7" s="27"/>
      <c r="AG7" s="27"/>
      <c r="AH7" s="27"/>
      <c r="AI7" s="27"/>
      <c r="AJ7" s="28"/>
      <c r="AK7" s="8"/>
      <c r="AL7" s="8"/>
      <c r="AQ7" s="7"/>
      <c r="AR7" s="7"/>
      <c r="AS7" s="7"/>
      <c r="AT7" s="7"/>
      <c r="AU7" s="7"/>
      <c r="AV7" s="7"/>
      <c r="AW7" s="7"/>
    </row>
    <row r="8" spans="1:49" ht="21" customHeight="1">
      <c r="A8" s="8"/>
      <c r="B8" s="152" t="str">
        <f>IFERROR(VLOOKUP($H$8,HOLIDAYS!$B$2:$D$22,3,FALSE),"")</f>
        <v/>
      </c>
      <c r="C8" s="153"/>
      <c r="D8" s="153"/>
      <c r="E8" s="153"/>
      <c r="F8" s="153"/>
      <c r="G8" s="153"/>
      <c r="H8" s="29">
        <f>DATE(AN2,AN5,1)-WEEKDAY(DATE(AN2,AN5,1),2)+1</f>
        <v>45166</v>
      </c>
      <c r="I8" s="152" t="str">
        <f>IFERROR(VLOOKUP($O$8,HOLIDAYS!$B$2:$D$22,3,FALSE),"")</f>
        <v/>
      </c>
      <c r="J8" s="153"/>
      <c r="K8" s="153"/>
      <c r="L8" s="153"/>
      <c r="M8" s="153"/>
      <c r="N8" s="153"/>
      <c r="O8" s="30">
        <f>DATE(AN2,AN5,1)-WEEKDAY(DATE(AN2,AN5,1),2)+2</f>
        <v>45167</v>
      </c>
      <c r="P8" s="146" t="str">
        <f>IFERROR(VLOOKUP($V$8,HOLIDAYS!$B$2:$D$22,3,FALSE),"")</f>
        <v/>
      </c>
      <c r="Q8" s="147"/>
      <c r="R8" s="147"/>
      <c r="S8" s="147"/>
      <c r="T8" s="147"/>
      <c r="U8" s="147"/>
      <c r="V8" s="30">
        <f>DATE(AN2,AN5,1)-WEEKDAY(DATE(AN2,AN5,1),2)+3</f>
        <v>45168</v>
      </c>
      <c r="W8" s="146" t="str">
        <f>IFERROR(VLOOKUP($AC$8,HOLIDAYS!$B$2:$D$22,3,FALSE),"")</f>
        <v/>
      </c>
      <c r="X8" s="147"/>
      <c r="Y8" s="147"/>
      <c r="Z8" s="147"/>
      <c r="AA8" s="147"/>
      <c r="AB8" s="147"/>
      <c r="AC8" s="30">
        <f>DATE(AN2,AN5,1)-WEEKDAY(DATE(AN2,AN5,1),2)+4</f>
        <v>45169</v>
      </c>
      <c r="AD8" s="146" t="str">
        <f>IFERROR(VLOOKUP($AJ$8,HOLIDAYS!$B$2:$D$22,3,FALSE),"")</f>
        <v/>
      </c>
      <c r="AE8" s="147"/>
      <c r="AF8" s="147"/>
      <c r="AG8" s="147"/>
      <c r="AH8" s="147"/>
      <c r="AI8" s="147"/>
      <c r="AJ8" s="30">
        <f>DATE(AN2,AN5,1)-WEEKDAY(DATE(AN2,AN5,1),2)+5</f>
        <v>45170</v>
      </c>
      <c r="AK8" s="8"/>
      <c r="AL8" s="8"/>
    </row>
    <row r="9" spans="1:49">
      <c r="A9" s="8"/>
      <c r="B9" s="31"/>
      <c r="C9" s="32"/>
      <c r="D9" s="33"/>
      <c r="E9" s="32" t="s">
        <v>89</v>
      </c>
      <c r="F9" s="34"/>
      <c r="G9" s="34"/>
      <c r="H9" s="35"/>
      <c r="I9" s="36"/>
      <c r="J9" s="37"/>
      <c r="K9" s="38"/>
      <c r="L9" s="37" t="s">
        <v>89</v>
      </c>
      <c r="M9" s="39"/>
      <c r="N9" s="39"/>
      <c r="O9" s="40"/>
      <c r="P9" s="36"/>
      <c r="Q9" s="37"/>
      <c r="R9" s="38"/>
      <c r="S9" s="37" t="s">
        <v>89</v>
      </c>
      <c r="T9" s="39"/>
      <c r="U9" s="39"/>
      <c r="V9" s="40"/>
      <c r="W9" s="36"/>
      <c r="X9" s="37"/>
      <c r="Y9" s="38"/>
      <c r="Z9" s="37" t="s">
        <v>89</v>
      </c>
      <c r="AA9" s="39"/>
      <c r="AB9" s="39"/>
      <c r="AC9" s="40"/>
      <c r="AD9" s="36"/>
      <c r="AE9" s="37"/>
      <c r="AF9" s="38"/>
      <c r="AG9" s="37" t="s">
        <v>89</v>
      </c>
      <c r="AH9" s="39"/>
      <c r="AI9" s="39"/>
      <c r="AJ9" s="40"/>
      <c r="AK9" s="65"/>
      <c r="AL9" s="8"/>
      <c r="AM9" s="7"/>
      <c r="AN9" s="7"/>
      <c r="AO9" s="7"/>
      <c r="AP9" s="7"/>
      <c r="AQ9" s="7"/>
    </row>
    <row r="10" spans="1:49">
      <c r="A10" s="8"/>
      <c r="B10" s="36"/>
      <c r="C10" s="37"/>
      <c r="D10" s="38"/>
      <c r="E10" s="37"/>
      <c r="F10" s="39"/>
      <c r="G10" s="39"/>
      <c r="H10" s="40"/>
      <c r="I10" s="36"/>
      <c r="J10" s="37"/>
      <c r="K10" s="38"/>
      <c r="L10" s="37"/>
      <c r="M10" s="39"/>
      <c r="N10" s="39"/>
      <c r="O10" s="40"/>
      <c r="P10" s="36"/>
      <c r="Q10" s="37"/>
      <c r="R10" s="38"/>
      <c r="S10" s="37"/>
      <c r="T10" s="39"/>
      <c r="U10" s="39"/>
      <c r="V10" s="40"/>
      <c r="W10" s="36"/>
      <c r="X10" s="37"/>
      <c r="Y10" s="38"/>
      <c r="Z10" s="37"/>
      <c r="AA10" s="39"/>
      <c r="AB10" s="39"/>
      <c r="AC10" s="40"/>
      <c r="AD10" s="36"/>
      <c r="AE10" s="37"/>
      <c r="AF10" s="38"/>
      <c r="AG10" s="37"/>
      <c r="AH10" s="39"/>
      <c r="AI10" s="39"/>
      <c r="AJ10" s="40"/>
      <c r="AK10" s="65"/>
      <c r="AL10" s="8"/>
      <c r="AM10" s="7"/>
      <c r="AN10" s="7"/>
      <c r="AO10" s="7"/>
      <c r="AP10" s="7"/>
      <c r="AQ10" s="7"/>
    </row>
    <row r="11" spans="1:49">
      <c r="A11" s="8"/>
      <c r="B11" s="36"/>
      <c r="C11" s="37"/>
      <c r="D11" s="38"/>
      <c r="E11" s="37"/>
      <c r="F11" s="39"/>
      <c r="G11" s="39"/>
      <c r="H11" s="40"/>
      <c r="I11" s="36"/>
      <c r="J11" s="37"/>
      <c r="K11" s="38"/>
      <c r="L11" s="37"/>
      <c r="M11" s="39"/>
      <c r="N11" s="39"/>
      <c r="O11" s="40"/>
      <c r="P11" s="36"/>
      <c r="Q11" s="37"/>
      <c r="R11" s="38"/>
      <c r="S11" s="37"/>
      <c r="T11" s="39"/>
      <c r="U11" s="39"/>
      <c r="V11" s="40"/>
      <c r="W11" s="36"/>
      <c r="X11" s="37"/>
      <c r="Y11" s="38"/>
      <c r="Z11" s="37"/>
      <c r="AA11" s="39"/>
      <c r="AB11" s="39"/>
      <c r="AC11" s="40"/>
      <c r="AD11" s="36"/>
      <c r="AE11" s="37"/>
      <c r="AF11" s="38"/>
      <c r="AG11" s="37"/>
      <c r="AH11" s="39"/>
      <c r="AI11" s="39"/>
      <c r="AJ11" s="40"/>
      <c r="AK11" s="65"/>
      <c r="AL11" s="8"/>
      <c r="AM11" s="7"/>
      <c r="AN11" s="7"/>
      <c r="AO11" s="7"/>
      <c r="AP11" s="7"/>
      <c r="AQ11" s="7"/>
    </row>
    <row r="12" spans="1:49">
      <c r="A12" s="8"/>
      <c r="B12" s="36"/>
      <c r="C12" s="37"/>
      <c r="D12" s="38"/>
      <c r="E12" s="37"/>
      <c r="F12" s="39"/>
      <c r="G12" s="39"/>
      <c r="H12" s="40"/>
      <c r="I12" s="36"/>
      <c r="J12" s="37"/>
      <c r="K12" s="38"/>
      <c r="L12" s="37"/>
      <c r="M12" s="39"/>
      <c r="N12" s="39"/>
      <c r="O12" s="40"/>
      <c r="P12" s="36"/>
      <c r="Q12" s="37"/>
      <c r="R12" s="38"/>
      <c r="S12" s="37"/>
      <c r="T12" s="39"/>
      <c r="U12" s="39"/>
      <c r="V12" s="40"/>
      <c r="W12" s="36"/>
      <c r="X12" s="37"/>
      <c r="Y12" s="38"/>
      <c r="Z12" s="37"/>
      <c r="AA12" s="39"/>
      <c r="AB12" s="39"/>
      <c r="AC12" s="40"/>
      <c r="AD12" s="36"/>
      <c r="AE12" s="37"/>
      <c r="AF12" s="38"/>
      <c r="AG12" s="37"/>
      <c r="AH12" s="39"/>
      <c r="AI12" s="39"/>
      <c r="AJ12" s="40"/>
      <c r="AK12" s="65"/>
      <c r="AL12" s="8"/>
      <c r="AM12" s="7"/>
      <c r="AN12" s="7"/>
      <c r="AO12" s="7"/>
      <c r="AP12" s="7"/>
      <c r="AQ12" s="7"/>
    </row>
    <row r="13" spans="1:49">
      <c r="A13" s="8"/>
      <c r="B13" s="36"/>
      <c r="C13" s="37"/>
      <c r="D13" s="38"/>
      <c r="E13" s="37"/>
      <c r="F13" s="39"/>
      <c r="G13" s="39"/>
      <c r="H13" s="40"/>
      <c r="I13" s="36"/>
      <c r="J13" s="37"/>
      <c r="K13" s="38"/>
      <c r="L13" s="37"/>
      <c r="M13" s="39"/>
      <c r="N13" s="39"/>
      <c r="O13" s="40"/>
      <c r="P13" s="36"/>
      <c r="Q13" s="37"/>
      <c r="R13" s="38"/>
      <c r="S13" s="37"/>
      <c r="T13" s="39"/>
      <c r="U13" s="39"/>
      <c r="V13" s="40"/>
      <c r="W13" s="36"/>
      <c r="X13" s="37"/>
      <c r="Y13" s="38"/>
      <c r="Z13" s="37"/>
      <c r="AA13" s="39"/>
      <c r="AB13" s="39"/>
      <c r="AC13" s="40"/>
      <c r="AD13" s="36"/>
      <c r="AE13" s="37"/>
      <c r="AF13" s="38"/>
      <c r="AG13" s="37"/>
      <c r="AH13" s="39"/>
      <c r="AI13" s="39"/>
      <c r="AJ13" s="40"/>
      <c r="AK13" s="65"/>
      <c r="AL13" s="8"/>
      <c r="AM13" s="7"/>
      <c r="AN13" s="7"/>
      <c r="AO13" s="7"/>
      <c r="AP13" s="7"/>
      <c r="AQ13" s="7"/>
    </row>
    <row r="14" spans="1:49">
      <c r="A14" s="8"/>
      <c r="B14" s="36"/>
      <c r="C14" s="37"/>
      <c r="D14" s="38"/>
      <c r="E14" s="37" t="s">
        <v>108</v>
      </c>
      <c r="F14" s="39"/>
      <c r="G14" s="39"/>
      <c r="H14" s="40"/>
      <c r="I14" s="36"/>
      <c r="J14" s="37"/>
      <c r="K14" s="38"/>
      <c r="L14" s="37" t="s">
        <v>108</v>
      </c>
      <c r="M14" s="39"/>
      <c r="N14" s="39"/>
      <c r="O14" s="40"/>
      <c r="P14" s="36"/>
      <c r="Q14" s="37"/>
      <c r="R14" s="38"/>
      <c r="S14" s="37" t="s">
        <v>108</v>
      </c>
      <c r="T14" s="39"/>
      <c r="U14" s="39"/>
      <c r="V14" s="40"/>
      <c r="W14" s="36"/>
      <c r="X14" s="37"/>
      <c r="Y14" s="38"/>
      <c r="Z14" s="37" t="s">
        <v>108</v>
      </c>
      <c r="AA14" s="39"/>
      <c r="AB14" s="39"/>
      <c r="AC14" s="40"/>
      <c r="AD14" s="36"/>
      <c r="AE14" s="37"/>
      <c r="AF14" s="38"/>
      <c r="AG14" s="37" t="s">
        <v>108</v>
      </c>
      <c r="AH14" s="39"/>
      <c r="AI14" s="39"/>
      <c r="AJ14" s="40"/>
      <c r="AK14" s="65"/>
      <c r="AL14" s="8"/>
      <c r="AM14" s="7"/>
      <c r="AN14" s="7"/>
      <c r="AO14" s="7"/>
      <c r="AP14" s="7"/>
      <c r="AQ14" s="7"/>
    </row>
    <row r="15" spans="1:49">
      <c r="A15" s="8"/>
      <c r="B15" s="36"/>
      <c r="C15" s="37"/>
      <c r="D15" s="38"/>
      <c r="E15" s="37"/>
      <c r="F15" s="39"/>
      <c r="G15" s="39"/>
      <c r="H15" s="40"/>
      <c r="I15" s="36"/>
      <c r="J15" s="37"/>
      <c r="K15" s="38"/>
      <c r="L15" s="37"/>
      <c r="M15" s="39"/>
      <c r="N15" s="39"/>
      <c r="O15" s="40"/>
      <c r="P15" s="36"/>
      <c r="Q15" s="37"/>
      <c r="R15" s="38"/>
      <c r="S15" s="37"/>
      <c r="T15" s="39"/>
      <c r="U15" s="39"/>
      <c r="V15" s="40"/>
      <c r="W15" s="36"/>
      <c r="X15" s="37"/>
      <c r="Y15" s="38"/>
      <c r="Z15" s="37"/>
      <c r="AA15" s="39"/>
      <c r="AB15" s="39"/>
      <c r="AC15" s="40"/>
      <c r="AD15" s="36"/>
      <c r="AE15" s="37"/>
      <c r="AF15" s="38"/>
      <c r="AG15" s="37"/>
      <c r="AH15" s="39"/>
      <c r="AI15" s="39"/>
      <c r="AJ15" s="40"/>
      <c r="AK15" s="8"/>
      <c r="AL15" s="8"/>
    </row>
    <row r="16" spans="1:49">
      <c r="A16" s="8"/>
      <c r="B16" s="36"/>
      <c r="C16" s="37"/>
      <c r="D16" s="38"/>
      <c r="E16" s="37"/>
      <c r="F16" s="39"/>
      <c r="G16" s="39"/>
      <c r="H16" s="40"/>
      <c r="I16" s="36"/>
      <c r="J16" s="37"/>
      <c r="K16" s="38"/>
      <c r="L16" s="37"/>
      <c r="M16" s="39"/>
      <c r="N16" s="39"/>
      <c r="O16" s="40"/>
      <c r="P16" s="36"/>
      <c r="Q16" s="37"/>
      <c r="R16" s="38"/>
      <c r="S16" s="37"/>
      <c r="T16" s="39"/>
      <c r="U16" s="39"/>
      <c r="V16" s="40"/>
      <c r="W16" s="36"/>
      <c r="X16" s="37"/>
      <c r="Y16" s="38"/>
      <c r="Z16" s="37"/>
      <c r="AA16" s="39"/>
      <c r="AB16" s="39"/>
      <c r="AC16" s="40"/>
      <c r="AD16" s="36"/>
      <c r="AE16" s="37"/>
      <c r="AF16" s="38"/>
      <c r="AG16" s="37"/>
      <c r="AH16" s="39"/>
      <c r="AI16" s="39"/>
      <c r="AJ16" s="40"/>
      <c r="AK16" s="8"/>
      <c r="AL16" s="8"/>
    </row>
    <row r="17" spans="1:38">
      <c r="A17" s="8"/>
      <c r="B17" s="36"/>
      <c r="C17" s="37"/>
      <c r="D17" s="38"/>
      <c r="E17" s="37"/>
      <c r="F17" s="39"/>
      <c r="G17" s="39"/>
      <c r="H17" s="40"/>
      <c r="I17" s="36"/>
      <c r="J17" s="37"/>
      <c r="K17" s="38"/>
      <c r="L17" s="37"/>
      <c r="M17" s="39"/>
      <c r="N17" s="39"/>
      <c r="O17" s="40"/>
      <c r="P17" s="36"/>
      <c r="Q17" s="37"/>
      <c r="R17" s="38"/>
      <c r="S17" s="37"/>
      <c r="T17" s="39"/>
      <c r="U17" s="39"/>
      <c r="V17" s="40"/>
      <c r="W17" s="36"/>
      <c r="X17" s="37"/>
      <c r="Y17" s="38"/>
      <c r="Z17" s="37"/>
      <c r="AA17" s="39"/>
      <c r="AB17" s="39"/>
      <c r="AC17" s="40"/>
      <c r="AD17" s="36"/>
      <c r="AE17" s="37"/>
      <c r="AF17" s="38"/>
      <c r="AG17" s="37"/>
      <c r="AH17" s="39"/>
      <c r="AI17" s="39"/>
      <c r="AJ17" s="40"/>
      <c r="AK17" s="8"/>
      <c r="AL17" s="8"/>
    </row>
    <row r="18" spans="1:38">
      <c r="A18" s="8"/>
      <c r="B18" s="36"/>
      <c r="C18" s="37"/>
      <c r="D18" s="38"/>
      <c r="E18" s="37"/>
      <c r="F18" s="39"/>
      <c r="G18" s="39"/>
      <c r="H18" s="40"/>
      <c r="I18" s="36"/>
      <c r="J18" s="37"/>
      <c r="K18" s="38"/>
      <c r="L18" s="37"/>
      <c r="M18" s="39"/>
      <c r="N18" s="39"/>
      <c r="O18" s="40"/>
      <c r="P18" s="36"/>
      <c r="Q18" s="37"/>
      <c r="R18" s="38"/>
      <c r="S18" s="37"/>
      <c r="T18" s="39"/>
      <c r="U18" s="39"/>
      <c r="V18" s="40"/>
      <c r="W18" s="36"/>
      <c r="X18" s="37"/>
      <c r="Y18" s="38"/>
      <c r="Z18" s="37"/>
      <c r="AA18" s="39"/>
      <c r="AB18" s="39"/>
      <c r="AC18" s="40"/>
      <c r="AD18" s="36"/>
      <c r="AE18" s="37"/>
      <c r="AF18" s="38"/>
      <c r="AG18" s="37"/>
      <c r="AH18" s="39"/>
      <c r="AI18" s="39"/>
      <c r="AJ18" s="40"/>
      <c r="AK18" s="8"/>
      <c r="AL18" s="8"/>
    </row>
    <row r="19" spans="1:38" ht="18.75" thickBot="1">
      <c r="A19" s="8"/>
      <c r="B19" s="41"/>
      <c r="C19" s="42"/>
      <c r="D19" s="43"/>
      <c r="E19" s="42"/>
      <c r="F19" s="44"/>
      <c r="G19" s="44"/>
      <c r="H19" s="45"/>
      <c r="I19" s="41"/>
      <c r="J19" s="42"/>
      <c r="K19" s="43"/>
      <c r="L19" s="42"/>
      <c r="M19" s="44"/>
      <c r="N19" s="44"/>
      <c r="O19" s="45"/>
      <c r="P19" s="41"/>
      <c r="Q19" s="42"/>
      <c r="R19" s="43"/>
      <c r="S19" s="42"/>
      <c r="T19" s="44"/>
      <c r="U19" s="44"/>
      <c r="V19" s="45"/>
      <c r="W19" s="41"/>
      <c r="X19" s="42"/>
      <c r="Y19" s="43"/>
      <c r="Z19" s="42"/>
      <c r="AA19" s="44"/>
      <c r="AB19" s="44"/>
      <c r="AC19" s="45"/>
      <c r="AD19" s="41"/>
      <c r="AE19" s="42"/>
      <c r="AF19" s="43"/>
      <c r="AG19" s="42"/>
      <c r="AH19" s="44"/>
      <c r="AI19" s="44"/>
      <c r="AJ19" s="45"/>
      <c r="AK19" s="8"/>
      <c r="AL19" s="8"/>
    </row>
    <row r="20" spans="1:38" ht="18.75" customHeight="1">
      <c r="A20" s="8"/>
      <c r="B20" s="146" t="str">
        <f>IFERROR(VLOOKUP($H$20,HOLIDAYS!$B$2:$D$22,3,FALSE),"")</f>
        <v/>
      </c>
      <c r="C20" s="147"/>
      <c r="D20" s="147"/>
      <c r="E20" s="147"/>
      <c r="F20" s="147"/>
      <c r="G20" s="147"/>
      <c r="H20" s="30">
        <f>DATE(AN2,AN5,1)-WEEKDAY(DATE(AN2,AN5,1),2)+8</f>
        <v>45173</v>
      </c>
      <c r="I20" s="146" t="str">
        <f>IFERROR(VLOOKUP($O$20,HOLIDAYS!$B$2:$D$22,3,FALSE),"")</f>
        <v/>
      </c>
      <c r="J20" s="147"/>
      <c r="K20" s="147"/>
      <c r="L20" s="147"/>
      <c r="M20" s="147"/>
      <c r="N20" s="147"/>
      <c r="O20" s="30">
        <f>DATE(AN2,AN5,1)-WEEKDAY(DATE(AN2,AN5,1),2)+9</f>
        <v>45174</v>
      </c>
      <c r="P20" s="146" t="str">
        <f>IFERROR(VLOOKUP($V$20,HOLIDAYS!$B$2:$D$22,3,FALSE),"")</f>
        <v/>
      </c>
      <c r="Q20" s="147"/>
      <c r="R20" s="147"/>
      <c r="S20" s="147"/>
      <c r="T20" s="147"/>
      <c r="U20" s="147"/>
      <c r="V20" s="30">
        <f>DATE(AN2,AN5,1)-WEEKDAY(DATE(AN2,AN5,1),2)+10</f>
        <v>45175</v>
      </c>
      <c r="W20" s="146" t="str">
        <f>IFERROR(VLOOKUP($AC$20,HOLIDAYS!$B$2:$D$22,3,FALSE),"")</f>
        <v/>
      </c>
      <c r="X20" s="147"/>
      <c r="Y20" s="147"/>
      <c r="Z20" s="147"/>
      <c r="AA20" s="147"/>
      <c r="AB20" s="147"/>
      <c r="AC20" s="30">
        <f>DATE(AN2,AN5,1)-WEEKDAY(DATE(AN2,AN5,1),2)+11</f>
        <v>45176</v>
      </c>
      <c r="AD20" s="146" t="str">
        <f>IFERROR(VLOOKUP($AJ$20,HOLIDAYS!$B$2:$D$22,3,FALSE),"")</f>
        <v/>
      </c>
      <c r="AE20" s="147"/>
      <c r="AF20" s="147"/>
      <c r="AG20" s="147"/>
      <c r="AH20" s="147"/>
      <c r="AI20" s="147"/>
      <c r="AJ20" s="30">
        <f>DATE(AN2,AN5,1)-WEEKDAY(DATE(AN2,AN5,1),2)+12</f>
        <v>45177</v>
      </c>
      <c r="AK20" s="8"/>
      <c r="AL20" s="8"/>
    </row>
    <row r="21" spans="1:38">
      <c r="A21" s="8"/>
      <c r="B21" s="36"/>
      <c r="C21" s="37"/>
      <c r="D21" s="38"/>
      <c r="E21" s="37" t="s">
        <v>89</v>
      </c>
      <c r="F21" s="39"/>
      <c r="G21" s="39"/>
      <c r="H21" s="40"/>
      <c r="I21" s="36"/>
      <c r="J21" s="37"/>
      <c r="K21" s="38"/>
      <c r="L21" s="37" t="s">
        <v>89</v>
      </c>
      <c r="M21" s="39"/>
      <c r="N21" s="39"/>
      <c r="O21" s="40"/>
      <c r="P21" s="36"/>
      <c r="Q21" s="37"/>
      <c r="R21" s="38"/>
      <c r="S21" s="37" t="s">
        <v>89</v>
      </c>
      <c r="T21" s="39"/>
      <c r="U21" s="39"/>
      <c r="V21" s="40"/>
      <c r="W21" s="36"/>
      <c r="X21" s="37"/>
      <c r="Y21" s="38"/>
      <c r="Z21" s="37" t="s">
        <v>89</v>
      </c>
      <c r="AA21" s="39"/>
      <c r="AB21" s="39"/>
      <c r="AC21" s="40"/>
      <c r="AD21" s="36"/>
      <c r="AE21" s="37"/>
      <c r="AF21" s="38"/>
      <c r="AG21" s="37" t="s">
        <v>89</v>
      </c>
      <c r="AH21" s="39"/>
      <c r="AI21" s="39"/>
      <c r="AJ21" s="40"/>
      <c r="AK21" s="8"/>
      <c r="AL21" s="8"/>
    </row>
    <row r="22" spans="1:38">
      <c r="A22" s="8"/>
      <c r="B22" s="36"/>
      <c r="C22" s="37"/>
      <c r="D22" s="38"/>
      <c r="E22" s="37"/>
      <c r="F22" s="39"/>
      <c r="G22" s="39"/>
      <c r="H22" s="40"/>
      <c r="I22" s="36"/>
      <c r="J22" s="37"/>
      <c r="K22" s="38"/>
      <c r="L22" s="37"/>
      <c r="M22" s="39"/>
      <c r="N22" s="39"/>
      <c r="O22" s="40"/>
      <c r="P22" s="36"/>
      <c r="Q22" s="37"/>
      <c r="R22" s="38"/>
      <c r="S22" s="37"/>
      <c r="T22" s="39"/>
      <c r="U22" s="39"/>
      <c r="V22" s="40"/>
      <c r="W22" s="36"/>
      <c r="X22" s="37"/>
      <c r="Y22" s="38"/>
      <c r="Z22" s="37"/>
      <c r="AA22" s="39"/>
      <c r="AB22" s="39"/>
      <c r="AC22" s="40"/>
      <c r="AD22" s="36"/>
      <c r="AE22" s="37"/>
      <c r="AF22" s="38"/>
      <c r="AG22" s="37"/>
      <c r="AH22" s="39"/>
      <c r="AI22" s="39"/>
      <c r="AJ22" s="40"/>
      <c r="AK22" s="8"/>
      <c r="AL22" s="8"/>
    </row>
    <row r="23" spans="1:38">
      <c r="A23" s="8"/>
      <c r="B23" s="36"/>
      <c r="C23" s="37"/>
      <c r="D23" s="38"/>
      <c r="E23" s="37"/>
      <c r="F23" s="39"/>
      <c r="G23" s="39"/>
      <c r="H23" s="40"/>
      <c r="I23" s="36"/>
      <c r="J23" s="37"/>
      <c r="K23" s="38"/>
      <c r="L23" s="37"/>
      <c r="M23" s="39"/>
      <c r="N23" s="39"/>
      <c r="O23" s="40"/>
      <c r="P23" s="36"/>
      <c r="Q23" s="37"/>
      <c r="R23" s="38"/>
      <c r="S23" s="37"/>
      <c r="T23" s="39"/>
      <c r="U23" s="39"/>
      <c r="V23" s="40"/>
      <c r="W23" s="36"/>
      <c r="X23" s="37"/>
      <c r="Y23" s="38"/>
      <c r="Z23" s="37"/>
      <c r="AA23" s="39"/>
      <c r="AB23" s="39"/>
      <c r="AC23" s="40"/>
      <c r="AD23" s="36"/>
      <c r="AE23" s="37"/>
      <c r="AF23" s="38"/>
      <c r="AG23" s="37"/>
      <c r="AH23" s="39"/>
      <c r="AI23" s="39"/>
      <c r="AJ23" s="40"/>
      <c r="AK23" s="8"/>
      <c r="AL23" s="8"/>
    </row>
    <row r="24" spans="1:38">
      <c r="A24" s="8"/>
      <c r="B24" s="36"/>
      <c r="C24" s="37"/>
      <c r="D24" s="38"/>
      <c r="E24" s="37"/>
      <c r="F24" s="39"/>
      <c r="G24" s="39"/>
      <c r="H24" s="40"/>
      <c r="I24" s="36"/>
      <c r="J24" s="37"/>
      <c r="K24" s="38"/>
      <c r="L24" s="37"/>
      <c r="M24" s="39"/>
      <c r="N24" s="39"/>
      <c r="O24" s="40"/>
      <c r="P24" s="36"/>
      <c r="Q24" s="37"/>
      <c r="R24" s="38"/>
      <c r="S24" s="37"/>
      <c r="T24" s="39"/>
      <c r="U24" s="39"/>
      <c r="V24" s="40"/>
      <c r="W24" s="36"/>
      <c r="X24" s="37"/>
      <c r="Y24" s="38"/>
      <c r="Z24" s="37"/>
      <c r="AA24" s="39"/>
      <c r="AB24" s="39"/>
      <c r="AC24" s="40"/>
      <c r="AD24" s="36"/>
      <c r="AE24" s="37"/>
      <c r="AF24" s="38"/>
      <c r="AG24" s="37"/>
      <c r="AH24" s="39"/>
      <c r="AI24" s="39"/>
      <c r="AJ24" s="40"/>
      <c r="AK24" s="8"/>
      <c r="AL24" s="8"/>
    </row>
    <row r="25" spans="1:38">
      <c r="A25" s="8"/>
      <c r="B25" s="36"/>
      <c r="C25" s="37"/>
      <c r="D25" s="38"/>
      <c r="E25" s="37"/>
      <c r="F25" s="39"/>
      <c r="G25" s="39"/>
      <c r="H25" s="40"/>
      <c r="I25" s="36"/>
      <c r="J25" s="37"/>
      <c r="K25" s="38"/>
      <c r="L25" s="37"/>
      <c r="M25" s="39"/>
      <c r="N25" s="39"/>
      <c r="O25" s="40"/>
      <c r="P25" s="36"/>
      <c r="Q25" s="37"/>
      <c r="R25" s="38"/>
      <c r="S25" s="37"/>
      <c r="T25" s="39"/>
      <c r="U25" s="39"/>
      <c r="V25" s="40"/>
      <c r="W25" s="36"/>
      <c r="X25" s="37"/>
      <c r="Y25" s="38"/>
      <c r="Z25" s="37"/>
      <c r="AA25" s="39"/>
      <c r="AB25" s="39"/>
      <c r="AC25" s="40"/>
      <c r="AD25" s="36"/>
      <c r="AE25" s="37"/>
      <c r="AF25" s="38"/>
      <c r="AG25" s="37"/>
      <c r="AH25" s="39"/>
      <c r="AI25" s="39"/>
      <c r="AJ25" s="40"/>
      <c r="AK25" s="8"/>
      <c r="AL25" s="8"/>
    </row>
    <row r="26" spans="1:38">
      <c r="A26" s="8"/>
      <c r="B26" s="36"/>
      <c r="C26" s="37"/>
      <c r="D26" s="38"/>
      <c r="E26" s="37" t="s">
        <v>108</v>
      </c>
      <c r="F26" s="39"/>
      <c r="G26" s="39"/>
      <c r="H26" s="40"/>
      <c r="I26" s="36"/>
      <c r="J26" s="37"/>
      <c r="K26" s="38"/>
      <c r="L26" s="37" t="s">
        <v>108</v>
      </c>
      <c r="M26" s="39"/>
      <c r="N26" s="39"/>
      <c r="O26" s="40"/>
      <c r="P26" s="36"/>
      <c r="Q26" s="37"/>
      <c r="R26" s="38"/>
      <c r="S26" s="37" t="s">
        <v>108</v>
      </c>
      <c r="T26" s="39"/>
      <c r="U26" s="39"/>
      <c r="V26" s="40"/>
      <c r="W26" s="36"/>
      <c r="X26" s="37"/>
      <c r="Y26" s="38"/>
      <c r="Z26" s="37" t="s">
        <v>108</v>
      </c>
      <c r="AA26" s="39"/>
      <c r="AB26" s="39"/>
      <c r="AC26" s="40"/>
      <c r="AD26" s="36"/>
      <c r="AE26" s="37"/>
      <c r="AF26" s="38"/>
      <c r="AG26" s="37" t="s">
        <v>108</v>
      </c>
      <c r="AH26" s="39"/>
      <c r="AI26" s="39"/>
      <c r="AJ26" s="40"/>
      <c r="AK26" s="8"/>
      <c r="AL26" s="8"/>
    </row>
    <row r="27" spans="1:38">
      <c r="A27" s="8"/>
      <c r="B27" s="36"/>
      <c r="C27" s="37"/>
      <c r="D27" s="38"/>
      <c r="E27" s="37"/>
      <c r="F27" s="39"/>
      <c r="G27" s="39"/>
      <c r="H27" s="40"/>
      <c r="I27" s="36"/>
      <c r="J27" s="37"/>
      <c r="K27" s="38"/>
      <c r="L27" s="37"/>
      <c r="M27" s="39"/>
      <c r="N27" s="39"/>
      <c r="O27" s="40"/>
      <c r="P27" s="36"/>
      <c r="Q27" s="37"/>
      <c r="R27" s="38"/>
      <c r="S27" s="37"/>
      <c r="T27" s="39"/>
      <c r="U27" s="39"/>
      <c r="V27" s="40"/>
      <c r="W27" s="36"/>
      <c r="X27" s="37"/>
      <c r="Y27" s="38"/>
      <c r="Z27" s="37"/>
      <c r="AA27" s="39"/>
      <c r="AB27" s="39"/>
      <c r="AC27" s="40"/>
      <c r="AD27" s="36"/>
      <c r="AE27" s="37"/>
      <c r="AF27" s="38"/>
      <c r="AG27" s="37"/>
      <c r="AH27" s="39"/>
      <c r="AI27" s="39"/>
      <c r="AJ27" s="40"/>
      <c r="AK27" s="8"/>
      <c r="AL27" s="8"/>
    </row>
    <row r="28" spans="1:38">
      <c r="A28" s="8"/>
      <c r="B28" s="36"/>
      <c r="C28" s="37"/>
      <c r="D28" s="38"/>
      <c r="E28" s="37"/>
      <c r="F28" s="39"/>
      <c r="G28" s="39"/>
      <c r="H28" s="40"/>
      <c r="I28" s="36"/>
      <c r="J28" s="37"/>
      <c r="K28" s="38"/>
      <c r="L28" s="37"/>
      <c r="M28" s="39"/>
      <c r="N28" s="39"/>
      <c r="O28" s="40"/>
      <c r="P28" s="36"/>
      <c r="Q28" s="37"/>
      <c r="R28" s="38"/>
      <c r="S28" s="37"/>
      <c r="T28" s="39"/>
      <c r="U28" s="39"/>
      <c r="V28" s="40"/>
      <c r="W28" s="36"/>
      <c r="X28" s="37"/>
      <c r="Y28" s="38"/>
      <c r="Z28" s="37"/>
      <c r="AA28" s="39"/>
      <c r="AB28" s="39"/>
      <c r="AC28" s="40"/>
      <c r="AD28" s="36"/>
      <c r="AE28" s="37"/>
      <c r="AF28" s="38"/>
      <c r="AG28" s="37"/>
      <c r="AH28" s="39"/>
      <c r="AI28" s="39"/>
      <c r="AJ28" s="40"/>
      <c r="AK28" s="8"/>
      <c r="AL28" s="8"/>
    </row>
    <row r="29" spans="1:38">
      <c r="A29" s="8"/>
      <c r="B29" s="36"/>
      <c r="C29" s="37"/>
      <c r="D29" s="38"/>
      <c r="E29" s="37"/>
      <c r="F29" s="39"/>
      <c r="G29" s="39"/>
      <c r="H29" s="40"/>
      <c r="I29" s="36"/>
      <c r="J29" s="37"/>
      <c r="K29" s="38"/>
      <c r="L29" s="37"/>
      <c r="M29" s="39"/>
      <c r="N29" s="39"/>
      <c r="O29" s="40"/>
      <c r="P29" s="36"/>
      <c r="Q29" s="37"/>
      <c r="R29" s="38"/>
      <c r="S29" s="37"/>
      <c r="T29" s="39"/>
      <c r="U29" s="39"/>
      <c r="V29" s="40"/>
      <c r="W29" s="36"/>
      <c r="X29" s="37"/>
      <c r="Y29" s="38"/>
      <c r="Z29" s="37"/>
      <c r="AA29" s="39"/>
      <c r="AB29" s="39"/>
      <c r="AC29" s="40"/>
      <c r="AD29" s="36"/>
      <c r="AE29" s="37"/>
      <c r="AF29" s="38"/>
      <c r="AG29" s="37"/>
      <c r="AH29" s="39"/>
      <c r="AI29" s="39"/>
      <c r="AJ29" s="40"/>
      <c r="AK29" s="8"/>
      <c r="AL29" s="8"/>
    </row>
    <row r="30" spans="1:38">
      <c r="A30" s="8"/>
      <c r="B30" s="36"/>
      <c r="C30" s="37"/>
      <c r="D30" s="38"/>
      <c r="E30" s="37"/>
      <c r="F30" s="39"/>
      <c r="G30" s="39"/>
      <c r="H30" s="40"/>
      <c r="I30" s="36"/>
      <c r="J30" s="37"/>
      <c r="K30" s="38"/>
      <c r="L30" s="37"/>
      <c r="M30" s="39"/>
      <c r="N30" s="39"/>
      <c r="O30" s="40"/>
      <c r="P30" s="36"/>
      <c r="Q30" s="37"/>
      <c r="R30" s="38"/>
      <c r="S30" s="37"/>
      <c r="T30" s="39"/>
      <c r="U30" s="39"/>
      <c r="V30" s="40"/>
      <c r="W30" s="36"/>
      <c r="X30" s="37"/>
      <c r="Y30" s="38"/>
      <c r="Z30" s="37"/>
      <c r="AA30" s="39"/>
      <c r="AB30" s="39"/>
      <c r="AC30" s="40"/>
      <c r="AD30" s="36"/>
      <c r="AE30" s="37"/>
      <c r="AF30" s="38"/>
      <c r="AG30" s="37"/>
      <c r="AH30" s="39"/>
      <c r="AI30" s="39"/>
      <c r="AJ30" s="40"/>
      <c r="AK30" s="8"/>
      <c r="AL30" s="8"/>
    </row>
    <row r="31" spans="1:38" ht="18.75" thickBot="1">
      <c r="A31" s="8"/>
      <c r="B31" s="41"/>
      <c r="C31" s="42"/>
      <c r="D31" s="43"/>
      <c r="E31" s="42"/>
      <c r="F31" s="44"/>
      <c r="G31" s="44"/>
      <c r="H31" s="45"/>
      <c r="I31" s="41"/>
      <c r="J31" s="42"/>
      <c r="K31" s="43"/>
      <c r="L31" s="42"/>
      <c r="M31" s="44"/>
      <c r="N31" s="44"/>
      <c r="O31" s="45"/>
      <c r="P31" s="41"/>
      <c r="Q31" s="42"/>
      <c r="R31" s="43"/>
      <c r="S31" s="42"/>
      <c r="T31" s="44"/>
      <c r="U31" s="44"/>
      <c r="V31" s="45"/>
      <c r="W31" s="41"/>
      <c r="X31" s="42"/>
      <c r="Y31" s="43"/>
      <c r="Z31" s="42"/>
      <c r="AA31" s="44"/>
      <c r="AB31" s="44"/>
      <c r="AC31" s="45"/>
      <c r="AD31" s="41"/>
      <c r="AE31" s="42"/>
      <c r="AF31" s="43"/>
      <c r="AG31" s="42"/>
      <c r="AH31" s="44"/>
      <c r="AI31" s="44"/>
      <c r="AJ31" s="45"/>
      <c r="AK31" s="8"/>
      <c r="AL31" s="8"/>
    </row>
    <row r="32" spans="1:38">
      <c r="A32" s="8"/>
      <c r="B32" s="146" t="str">
        <f>IFERROR(VLOOKUP($H$32,HOLIDAYS!$B$2:$D$22,3,FALSE),"")</f>
        <v/>
      </c>
      <c r="C32" s="147"/>
      <c r="D32" s="147"/>
      <c r="E32" s="147"/>
      <c r="F32" s="147"/>
      <c r="G32" s="147"/>
      <c r="H32" s="30">
        <f>DATE(AN2,AN5,1)-WEEKDAY(DATE(AN2,AN5,1),2)+15</f>
        <v>45180</v>
      </c>
      <c r="I32" s="146" t="str">
        <f>IFERROR(VLOOKUP($O$32,HOLIDAYS!$B$2:$D$22,3,FALSE),"")</f>
        <v/>
      </c>
      <c r="J32" s="147"/>
      <c r="K32" s="147"/>
      <c r="L32" s="147"/>
      <c r="M32" s="147"/>
      <c r="N32" s="147"/>
      <c r="O32" s="30">
        <f>DATE(AN2,AN5,1)-WEEKDAY(DATE(AN2,AN5,1),2)+16</f>
        <v>45181</v>
      </c>
      <c r="P32" s="146" t="str">
        <f>IFERROR(VLOOKUP($V$32,HOLIDAYS!$B$2:$D$22,3,FALSE),"")</f>
        <v/>
      </c>
      <c r="Q32" s="147"/>
      <c r="R32" s="147"/>
      <c r="S32" s="147"/>
      <c r="T32" s="147"/>
      <c r="U32" s="147"/>
      <c r="V32" s="30">
        <f>DATE(AN2,AN5,1)-WEEKDAY(DATE(AN2,AN5,1),2)+17</f>
        <v>45182</v>
      </c>
      <c r="W32" s="146" t="str">
        <f>IFERROR(VLOOKUP($AC$32,HOLIDAYS!$B$2:$D$22,3,FALSE),"")</f>
        <v/>
      </c>
      <c r="X32" s="147"/>
      <c r="Y32" s="147"/>
      <c r="Z32" s="147"/>
      <c r="AA32" s="147"/>
      <c r="AB32" s="147"/>
      <c r="AC32" s="30">
        <f>DATE(AN2,AN5,1)-WEEKDAY(DATE(AN2,AN5,1),2)+18</f>
        <v>45183</v>
      </c>
      <c r="AD32" s="146" t="str">
        <f>IFERROR(VLOOKUP($AJ$32,HOLIDAYS!$B$2:$D$22,3,FALSE),"")</f>
        <v/>
      </c>
      <c r="AE32" s="147"/>
      <c r="AF32" s="147"/>
      <c r="AG32" s="147"/>
      <c r="AH32" s="147"/>
      <c r="AI32" s="147"/>
      <c r="AJ32" s="30">
        <f>DATE(AN2,AN5,1)-WEEKDAY(DATE(AN2,AN5,1),2)+19</f>
        <v>45184</v>
      </c>
      <c r="AK32" s="8"/>
      <c r="AL32" s="8"/>
    </row>
    <row r="33" spans="1:38">
      <c r="A33" s="8"/>
      <c r="B33" s="36"/>
      <c r="C33" s="37"/>
      <c r="D33" s="38"/>
      <c r="E33" s="37" t="s">
        <v>89</v>
      </c>
      <c r="F33" s="39"/>
      <c r="G33" s="39"/>
      <c r="H33" s="40"/>
      <c r="I33" s="36"/>
      <c r="J33" s="37"/>
      <c r="K33" s="38"/>
      <c r="L33" s="37" t="s">
        <v>89</v>
      </c>
      <c r="M33" s="39"/>
      <c r="N33" s="39"/>
      <c r="O33" s="40"/>
      <c r="P33" s="36"/>
      <c r="Q33" s="37"/>
      <c r="R33" s="38"/>
      <c r="S33" s="37" t="s">
        <v>89</v>
      </c>
      <c r="T33" s="39"/>
      <c r="U33" s="39"/>
      <c r="V33" s="40"/>
      <c r="W33" s="36"/>
      <c r="X33" s="37"/>
      <c r="Y33" s="38"/>
      <c r="Z33" s="37" t="s">
        <v>89</v>
      </c>
      <c r="AA33" s="39"/>
      <c r="AB33" s="39"/>
      <c r="AC33" s="40"/>
      <c r="AD33" s="36"/>
      <c r="AE33" s="37"/>
      <c r="AF33" s="38"/>
      <c r="AG33" s="37" t="s">
        <v>89</v>
      </c>
      <c r="AH33" s="39"/>
      <c r="AI33" s="39"/>
      <c r="AJ33" s="40"/>
      <c r="AK33" s="8"/>
      <c r="AL33" s="8"/>
    </row>
    <row r="34" spans="1:38">
      <c r="A34" s="8"/>
      <c r="B34" s="36"/>
      <c r="C34" s="37"/>
      <c r="D34" s="38"/>
      <c r="E34" s="37"/>
      <c r="F34" s="39"/>
      <c r="G34" s="39"/>
      <c r="H34" s="40"/>
      <c r="I34" s="36"/>
      <c r="J34" s="37"/>
      <c r="K34" s="38"/>
      <c r="L34" s="37"/>
      <c r="M34" s="39"/>
      <c r="N34" s="39"/>
      <c r="O34" s="40"/>
      <c r="P34" s="36"/>
      <c r="Q34" s="37"/>
      <c r="R34" s="38"/>
      <c r="S34" s="37"/>
      <c r="T34" s="39"/>
      <c r="U34" s="39"/>
      <c r="V34" s="40"/>
      <c r="W34" s="36"/>
      <c r="X34" s="37"/>
      <c r="Y34" s="38"/>
      <c r="Z34" s="37"/>
      <c r="AA34" s="39"/>
      <c r="AB34" s="39"/>
      <c r="AC34" s="40"/>
      <c r="AD34" s="36"/>
      <c r="AE34" s="37"/>
      <c r="AF34" s="38"/>
      <c r="AG34" s="37"/>
      <c r="AH34" s="39"/>
      <c r="AI34" s="39"/>
      <c r="AJ34" s="40"/>
      <c r="AK34" s="8"/>
      <c r="AL34" s="8"/>
    </row>
    <row r="35" spans="1:38">
      <c r="A35" s="8"/>
      <c r="B35" s="36"/>
      <c r="C35" s="37"/>
      <c r="D35" s="38"/>
      <c r="E35" s="37"/>
      <c r="F35" s="39"/>
      <c r="G35" s="39"/>
      <c r="H35" s="40"/>
      <c r="I35" s="36"/>
      <c r="J35" s="37"/>
      <c r="K35" s="38"/>
      <c r="L35" s="37"/>
      <c r="M35" s="39"/>
      <c r="N35" s="39"/>
      <c r="O35" s="40"/>
      <c r="P35" s="36"/>
      <c r="Q35" s="37"/>
      <c r="R35" s="38"/>
      <c r="S35" s="37"/>
      <c r="T35" s="39"/>
      <c r="U35" s="39"/>
      <c r="V35" s="40"/>
      <c r="W35" s="36"/>
      <c r="X35" s="37"/>
      <c r="Y35" s="38"/>
      <c r="Z35" s="37"/>
      <c r="AA35" s="39"/>
      <c r="AB35" s="39"/>
      <c r="AC35" s="40"/>
      <c r="AD35" s="36"/>
      <c r="AE35" s="37"/>
      <c r="AF35" s="38"/>
      <c r="AG35" s="37"/>
      <c r="AH35" s="39"/>
      <c r="AI35" s="39"/>
      <c r="AJ35" s="40"/>
      <c r="AK35" s="8"/>
      <c r="AL35" s="8"/>
    </row>
    <row r="36" spans="1:38">
      <c r="A36" s="8"/>
      <c r="B36" s="36"/>
      <c r="C36" s="37"/>
      <c r="D36" s="38"/>
      <c r="E36" s="37"/>
      <c r="F36" s="39"/>
      <c r="G36" s="39"/>
      <c r="H36" s="40"/>
      <c r="I36" s="36"/>
      <c r="J36" s="37"/>
      <c r="K36" s="38"/>
      <c r="L36" s="37"/>
      <c r="M36" s="39"/>
      <c r="N36" s="39"/>
      <c r="O36" s="40"/>
      <c r="P36" s="36"/>
      <c r="Q36" s="37"/>
      <c r="R36" s="38"/>
      <c r="S36" s="37"/>
      <c r="T36" s="39"/>
      <c r="U36" s="39"/>
      <c r="V36" s="40"/>
      <c r="W36" s="36"/>
      <c r="X36" s="37"/>
      <c r="Y36" s="38"/>
      <c r="Z36" s="37"/>
      <c r="AA36" s="39"/>
      <c r="AB36" s="39"/>
      <c r="AC36" s="40"/>
      <c r="AD36" s="36"/>
      <c r="AE36" s="37"/>
      <c r="AF36" s="38"/>
      <c r="AG36" s="37"/>
      <c r="AH36" s="39"/>
      <c r="AI36" s="39"/>
      <c r="AJ36" s="40"/>
      <c r="AK36" s="8"/>
      <c r="AL36" s="8"/>
    </row>
    <row r="37" spans="1:38">
      <c r="A37" s="8"/>
      <c r="B37" s="36"/>
      <c r="C37" s="37"/>
      <c r="D37" s="38"/>
      <c r="E37" s="37"/>
      <c r="F37" s="39"/>
      <c r="G37" s="39"/>
      <c r="H37" s="40"/>
      <c r="I37" s="36"/>
      <c r="J37" s="37"/>
      <c r="K37" s="38"/>
      <c r="L37" s="37"/>
      <c r="M37" s="39"/>
      <c r="N37" s="39"/>
      <c r="O37" s="40"/>
      <c r="P37" s="36"/>
      <c r="Q37" s="37"/>
      <c r="R37" s="38"/>
      <c r="S37" s="37"/>
      <c r="T37" s="39"/>
      <c r="U37" s="39"/>
      <c r="V37" s="40"/>
      <c r="W37" s="36"/>
      <c r="X37" s="37"/>
      <c r="Y37" s="38"/>
      <c r="Z37" s="37"/>
      <c r="AA37" s="39"/>
      <c r="AB37" s="39"/>
      <c r="AC37" s="40"/>
      <c r="AD37" s="36"/>
      <c r="AE37" s="37"/>
      <c r="AF37" s="38"/>
      <c r="AG37" s="37"/>
      <c r="AH37" s="39"/>
      <c r="AI37" s="39"/>
      <c r="AJ37" s="40"/>
      <c r="AK37" s="8"/>
      <c r="AL37" s="8"/>
    </row>
    <row r="38" spans="1:38">
      <c r="A38" s="8"/>
      <c r="B38" s="36"/>
      <c r="C38" s="37"/>
      <c r="D38" s="38"/>
      <c r="E38" s="37" t="s">
        <v>108</v>
      </c>
      <c r="F38" s="39"/>
      <c r="G38" s="39"/>
      <c r="H38" s="40"/>
      <c r="I38" s="36"/>
      <c r="J38" s="37"/>
      <c r="K38" s="38"/>
      <c r="L38" s="37" t="s">
        <v>108</v>
      </c>
      <c r="M38" s="39"/>
      <c r="N38" s="39"/>
      <c r="O38" s="40"/>
      <c r="P38" s="36"/>
      <c r="Q38" s="37"/>
      <c r="R38" s="38"/>
      <c r="S38" s="37" t="s">
        <v>108</v>
      </c>
      <c r="T38" s="39"/>
      <c r="U38" s="39"/>
      <c r="V38" s="40"/>
      <c r="W38" s="36"/>
      <c r="X38" s="37"/>
      <c r="Y38" s="38"/>
      <c r="Z38" s="37" t="s">
        <v>108</v>
      </c>
      <c r="AA38" s="39"/>
      <c r="AB38" s="39"/>
      <c r="AC38" s="40"/>
      <c r="AD38" s="36"/>
      <c r="AE38" s="37"/>
      <c r="AF38" s="38"/>
      <c r="AG38" s="37" t="s">
        <v>108</v>
      </c>
      <c r="AH38" s="39"/>
      <c r="AI38" s="39"/>
      <c r="AJ38" s="40"/>
      <c r="AK38" s="8"/>
      <c r="AL38" s="8"/>
    </row>
    <row r="39" spans="1:38">
      <c r="A39" s="8"/>
      <c r="B39" s="36"/>
      <c r="C39" s="37"/>
      <c r="D39" s="38"/>
      <c r="E39" s="37"/>
      <c r="F39" s="39"/>
      <c r="G39" s="39"/>
      <c r="H39" s="40"/>
      <c r="I39" s="36"/>
      <c r="J39" s="37"/>
      <c r="K39" s="38"/>
      <c r="L39" s="37"/>
      <c r="M39" s="39"/>
      <c r="N39" s="39"/>
      <c r="O39" s="40"/>
      <c r="P39" s="36"/>
      <c r="Q39" s="37"/>
      <c r="R39" s="38"/>
      <c r="S39" s="37"/>
      <c r="T39" s="39"/>
      <c r="U39" s="39"/>
      <c r="V39" s="40"/>
      <c r="W39" s="36"/>
      <c r="X39" s="37"/>
      <c r="Y39" s="38"/>
      <c r="Z39" s="37"/>
      <c r="AA39" s="39"/>
      <c r="AB39" s="39"/>
      <c r="AC39" s="40"/>
      <c r="AD39" s="36"/>
      <c r="AE39" s="37"/>
      <c r="AF39" s="38"/>
      <c r="AG39" s="37"/>
      <c r="AH39" s="39"/>
      <c r="AI39" s="39"/>
      <c r="AJ39" s="40"/>
      <c r="AK39" s="8"/>
      <c r="AL39" s="8"/>
    </row>
    <row r="40" spans="1:38">
      <c r="A40" s="8"/>
      <c r="B40" s="36"/>
      <c r="C40" s="37"/>
      <c r="D40" s="38"/>
      <c r="E40" s="37"/>
      <c r="F40" s="39"/>
      <c r="G40" s="39"/>
      <c r="H40" s="40"/>
      <c r="I40" s="36"/>
      <c r="J40" s="37"/>
      <c r="K40" s="38"/>
      <c r="L40" s="37"/>
      <c r="M40" s="39"/>
      <c r="N40" s="39"/>
      <c r="O40" s="40"/>
      <c r="P40" s="36"/>
      <c r="Q40" s="37"/>
      <c r="R40" s="38"/>
      <c r="S40" s="37"/>
      <c r="T40" s="39"/>
      <c r="U40" s="39"/>
      <c r="V40" s="40"/>
      <c r="W40" s="36"/>
      <c r="X40" s="37"/>
      <c r="Y40" s="38"/>
      <c r="Z40" s="37"/>
      <c r="AA40" s="39"/>
      <c r="AB40" s="39"/>
      <c r="AC40" s="40"/>
      <c r="AD40" s="36"/>
      <c r="AE40" s="37"/>
      <c r="AF40" s="38"/>
      <c r="AG40" s="37"/>
      <c r="AH40" s="39"/>
      <c r="AI40" s="39"/>
      <c r="AJ40" s="40"/>
      <c r="AK40" s="8"/>
      <c r="AL40" s="8"/>
    </row>
    <row r="41" spans="1:38">
      <c r="A41" s="8"/>
      <c r="B41" s="36"/>
      <c r="C41" s="37"/>
      <c r="D41" s="38"/>
      <c r="E41" s="37"/>
      <c r="F41" s="39"/>
      <c r="G41" s="39"/>
      <c r="H41" s="40"/>
      <c r="I41" s="36"/>
      <c r="J41" s="37"/>
      <c r="K41" s="38"/>
      <c r="L41" s="37"/>
      <c r="M41" s="39"/>
      <c r="N41" s="39"/>
      <c r="O41" s="40"/>
      <c r="P41" s="36"/>
      <c r="Q41" s="37"/>
      <c r="R41" s="38"/>
      <c r="S41" s="37"/>
      <c r="T41" s="39"/>
      <c r="U41" s="39"/>
      <c r="V41" s="40"/>
      <c r="W41" s="36"/>
      <c r="X41" s="37"/>
      <c r="Y41" s="38"/>
      <c r="Z41" s="37"/>
      <c r="AA41" s="39"/>
      <c r="AB41" s="39"/>
      <c r="AC41" s="40"/>
      <c r="AD41" s="36"/>
      <c r="AE41" s="37"/>
      <c r="AF41" s="38"/>
      <c r="AG41" s="37"/>
      <c r="AH41" s="39"/>
      <c r="AI41" s="39"/>
      <c r="AJ41" s="40"/>
      <c r="AK41" s="8"/>
      <c r="AL41" s="8"/>
    </row>
    <row r="42" spans="1:38">
      <c r="A42" s="8"/>
      <c r="B42" s="36"/>
      <c r="C42" s="37"/>
      <c r="D42" s="38"/>
      <c r="E42" s="37"/>
      <c r="F42" s="39"/>
      <c r="G42" s="39"/>
      <c r="H42" s="40"/>
      <c r="I42" s="36"/>
      <c r="J42" s="37"/>
      <c r="K42" s="38"/>
      <c r="L42" s="37"/>
      <c r="M42" s="39"/>
      <c r="N42" s="39"/>
      <c r="O42" s="40"/>
      <c r="P42" s="36"/>
      <c r="Q42" s="37"/>
      <c r="R42" s="38"/>
      <c r="S42" s="37"/>
      <c r="T42" s="39"/>
      <c r="U42" s="39"/>
      <c r="V42" s="40"/>
      <c r="W42" s="36"/>
      <c r="X42" s="37"/>
      <c r="Y42" s="38"/>
      <c r="Z42" s="37"/>
      <c r="AA42" s="39"/>
      <c r="AB42" s="39"/>
      <c r="AC42" s="40"/>
      <c r="AD42" s="36"/>
      <c r="AE42" s="37"/>
      <c r="AF42" s="38"/>
      <c r="AG42" s="37"/>
      <c r="AH42" s="39"/>
      <c r="AI42" s="39"/>
      <c r="AJ42" s="40"/>
      <c r="AK42" s="8"/>
      <c r="AL42" s="8"/>
    </row>
    <row r="43" spans="1:38" ht="18.75" thickBot="1">
      <c r="A43" s="8"/>
      <c r="B43" s="41"/>
      <c r="C43" s="42"/>
      <c r="D43" s="43"/>
      <c r="E43" s="42"/>
      <c r="F43" s="44"/>
      <c r="G43" s="44"/>
      <c r="H43" s="45"/>
      <c r="I43" s="41"/>
      <c r="J43" s="42"/>
      <c r="K43" s="43"/>
      <c r="L43" s="42"/>
      <c r="M43" s="44"/>
      <c r="N43" s="44"/>
      <c r="O43" s="45"/>
      <c r="P43" s="41"/>
      <c r="Q43" s="42"/>
      <c r="R43" s="43"/>
      <c r="S43" s="42"/>
      <c r="T43" s="44"/>
      <c r="U43" s="44"/>
      <c r="V43" s="45"/>
      <c r="W43" s="41"/>
      <c r="X43" s="42"/>
      <c r="Y43" s="43"/>
      <c r="Z43" s="42"/>
      <c r="AA43" s="44"/>
      <c r="AB43" s="44"/>
      <c r="AC43" s="45"/>
      <c r="AD43" s="41"/>
      <c r="AE43" s="42"/>
      <c r="AF43" s="43"/>
      <c r="AG43" s="42"/>
      <c r="AH43" s="44"/>
      <c r="AI43" s="44"/>
      <c r="AJ43" s="45"/>
      <c r="AK43" s="8"/>
      <c r="AL43" s="8"/>
    </row>
    <row r="44" spans="1:38">
      <c r="A44" s="8"/>
      <c r="B44" s="146" t="str">
        <f>IFERROR(VLOOKUP($H$44,HOLIDAYS!$B$2:$D$22,3,FALSE),"")</f>
        <v/>
      </c>
      <c r="C44" s="147"/>
      <c r="D44" s="147"/>
      <c r="E44" s="147"/>
      <c r="F44" s="147"/>
      <c r="G44" s="147"/>
      <c r="H44" s="30">
        <f>DATE(AN2,AN5,1)-WEEKDAY(DATE(AN2,AN5,1),2)+22</f>
        <v>45187</v>
      </c>
      <c r="I44" s="146" t="str">
        <f>IFERROR(VLOOKUP($O$44,HOLIDAYS!$B$2:$D$22,3,FALSE),"")</f>
        <v/>
      </c>
      <c r="J44" s="147"/>
      <c r="K44" s="147"/>
      <c r="L44" s="147"/>
      <c r="M44" s="147"/>
      <c r="N44" s="147"/>
      <c r="O44" s="30">
        <f>DATE(AN2,AN5,1)-WEEKDAY(DATE(AN2,AN5,1),2)+23</f>
        <v>45188</v>
      </c>
      <c r="P44" s="146" t="str">
        <f>IFERROR(VLOOKUP($V$44,HOLIDAYS!$B$2:$D$22,3,FALSE),"")</f>
        <v/>
      </c>
      <c r="Q44" s="147"/>
      <c r="R44" s="147"/>
      <c r="S44" s="147"/>
      <c r="T44" s="147"/>
      <c r="U44" s="147"/>
      <c r="V44" s="30">
        <f>DATE(AN2,AN5,1)-WEEKDAY(DATE(AN2,AN5,1),2)+24</f>
        <v>45189</v>
      </c>
      <c r="W44" s="146" t="str">
        <f>IFERROR(VLOOKUP($AC$44,HOLIDAYS!$B$2:$D$22,3,FALSE),"")</f>
        <v/>
      </c>
      <c r="X44" s="147"/>
      <c r="Y44" s="147"/>
      <c r="Z44" s="147"/>
      <c r="AA44" s="147"/>
      <c r="AB44" s="147"/>
      <c r="AC44" s="30">
        <f>DATE(AN2,AN5,1)-WEEKDAY(DATE(AN2,AN5,1),2)+25</f>
        <v>45190</v>
      </c>
      <c r="AD44" s="146" t="str">
        <f>IFERROR(VLOOKUP($AJ$44,HOLIDAYS!$B$2:$D$22,3,FALSE),"")</f>
        <v/>
      </c>
      <c r="AE44" s="147"/>
      <c r="AF44" s="147"/>
      <c r="AG44" s="147"/>
      <c r="AH44" s="147"/>
      <c r="AI44" s="147"/>
      <c r="AJ44" s="30">
        <f>DATE(AN2,AN5,1)-WEEKDAY(DATE(AN2,AN5,1),2)+26</f>
        <v>45191</v>
      </c>
      <c r="AK44" s="8"/>
      <c r="AL44" s="8"/>
    </row>
    <row r="45" spans="1:38">
      <c r="A45" s="8"/>
      <c r="B45" s="36"/>
      <c r="C45" s="37"/>
      <c r="D45" s="38"/>
      <c r="E45" s="37" t="s">
        <v>89</v>
      </c>
      <c r="F45" s="39"/>
      <c r="G45" s="39"/>
      <c r="H45" s="40"/>
      <c r="I45" s="36"/>
      <c r="J45" s="37"/>
      <c r="K45" s="38"/>
      <c r="L45" s="37" t="s">
        <v>89</v>
      </c>
      <c r="M45" s="39"/>
      <c r="N45" s="39"/>
      <c r="O45" s="40"/>
      <c r="P45" s="36"/>
      <c r="Q45" s="37"/>
      <c r="R45" s="38"/>
      <c r="S45" s="37" t="s">
        <v>89</v>
      </c>
      <c r="T45" s="39"/>
      <c r="U45" s="39"/>
      <c r="V45" s="40"/>
      <c r="W45" s="36"/>
      <c r="X45" s="37"/>
      <c r="Y45" s="38"/>
      <c r="Z45" s="37" t="s">
        <v>89</v>
      </c>
      <c r="AA45" s="39"/>
      <c r="AB45" s="39"/>
      <c r="AC45" s="40"/>
      <c r="AD45" s="36"/>
      <c r="AE45" s="37"/>
      <c r="AF45" s="38"/>
      <c r="AG45" s="37" t="s">
        <v>89</v>
      </c>
      <c r="AH45" s="39"/>
      <c r="AI45" s="39"/>
      <c r="AJ45" s="40"/>
      <c r="AK45" s="8"/>
      <c r="AL45" s="8"/>
    </row>
    <row r="46" spans="1:38">
      <c r="A46" s="8"/>
      <c r="B46" s="36"/>
      <c r="C46" s="37"/>
      <c r="D46" s="38"/>
      <c r="E46" s="37"/>
      <c r="F46" s="39"/>
      <c r="G46" s="39"/>
      <c r="H46" s="40"/>
      <c r="I46" s="36"/>
      <c r="J46" s="37"/>
      <c r="K46" s="38"/>
      <c r="L46" s="37"/>
      <c r="M46" s="39"/>
      <c r="N46" s="39"/>
      <c r="O46" s="40"/>
      <c r="P46" s="36"/>
      <c r="Q46" s="37"/>
      <c r="R46" s="38"/>
      <c r="S46" s="37"/>
      <c r="T46" s="39"/>
      <c r="U46" s="39"/>
      <c r="V46" s="40"/>
      <c r="W46" s="36"/>
      <c r="X46" s="37"/>
      <c r="Y46" s="38"/>
      <c r="Z46" s="37"/>
      <c r="AA46" s="39"/>
      <c r="AB46" s="39"/>
      <c r="AC46" s="40"/>
      <c r="AE46" s="37"/>
      <c r="AF46" s="38"/>
      <c r="AG46" s="37"/>
      <c r="AH46" s="39"/>
      <c r="AI46" s="39"/>
      <c r="AJ46" s="40"/>
      <c r="AK46" s="8"/>
      <c r="AL46" s="8"/>
    </row>
    <row r="47" spans="1:38">
      <c r="A47" s="8"/>
      <c r="B47" s="36"/>
      <c r="C47" s="37"/>
      <c r="D47" s="38"/>
      <c r="E47" s="37"/>
      <c r="F47" s="39"/>
      <c r="G47" s="39"/>
      <c r="H47" s="40"/>
      <c r="I47" s="36"/>
      <c r="J47" s="37"/>
      <c r="K47" s="38"/>
      <c r="L47" s="37"/>
      <c r="M47" s="39"/>
      <c r="N47" s="39"/>
      <c r="O47" s="40"/>
      <c r="P47" s="36"/>
      <c r="Q47" s="37"/>
      <c r="R47" s="38"/>
      <c r="S47" s="37"/>
      <c r="T47" s="39"/>
      <c r="U47" s="39"/>
      <c r="V47" s="40"/>
      <c r="W47" s="36"/>
      <c r="X47" s="37"/>
      <c r="Y47" s="38"/>
      <c r="Z47" s="37"/>
      <c r="AA47" s="39"/>
      <c r="AB47" s="39"/>
      <c r="AC47" s="40"/>
      <c r="AD47" s="36"/>
      <c r="AE47" s="37"/>
      <c r="AF47" s="38"/>
      <c r="AG47" s="37"/>
      <c r="AH47" s="39"/>
      <c r="AI47" s="39"/>
      <c r="AJ47" s="40"/>
      <c r="AK47" s="8"/>
      <c r="AL47" s="8"/>
    </row>
    <row r="48" spans="1:38">
      <c r="A48" s="8"/>
      <c r="B48" s="36"/>
      <c r="C48" s="37"/>
      <c r="D48" s="38"/>
      <c r="E48" s="37"/>
      <c r="F48" s="39"/>
      <c r="G48" s="39"/>
      <c r="H48" s="40"/>
      <c r="I48" s="36"/>
      <c r="J48" s="37"/>
      <c r="K48" s="38"/>
      <c r="L48" s="37"/>
      <c r="M48" s="39"/>
      <c r="N48" s="39"/>
      <c r="O48" s="40"/>
      <c r="P48" s="36"/>
      <c r="Q48" s="37"/>
      <c r="R48" s="38"/>
      <c r="S48" s="37"/>
      <c r="T48" s="39"/>
      <c r="U48" s="39"/>
      <c r="V48" s="40"/>
      <c r="W48" s="36"/>
      <c r="X48" s="37"/>
      <c r="Y48" s="38"/>
      <c r="Z48" s="37"/>
      <c r="AA48" s="39"/>
      <c r="AB48" s="39"/>
      <c r="AC48" s="40"/>
      <c r="AD48" s="36"/>
      <c r="AE48" s="37"/>
      <c r="AF48" s="38"/>
      <c r="AG48" s="37"/>
      <c r="AH48" s="39"/>
      <c r="AI48" s="39"/>
      <c r="AJ48" s="40"/>
      <c r="AK48" s="8"/>
      <c r="AL48" s="8"/>
    </row>
    <row r="49" spans="1:38">
      <c r="A49" s="8"/>
      <c r="B49" s="36"/>
      <c r="C49" s="37"/>
      <c r="D49" s="38"/>
      <c r="E49" s="37"/>
      <c r="F49" s="39"/>
      <c r="G49" s="39"/>
      <c r="H49" s="40"/>
      <c r="I49" s="36"/>
      <c r="J49" s="37"/>
      <c r="K49" s="38"/>
      <c r="L49" s="37"/>
      <c r="M49" s="39"/>
      <c r="N49" s="39"/>
      <c r="O49" s="40"/>
      <c r="P49" s="36"/>
      <c r="Q49" s="37"/>
      <c r="R49" s="38"/>
      <c r="S49" s="37"/>
      <c r="T49" s="39"/>
      <c r="U49" s="39"/>
      <c r="V49" s="40"/>
      <c r="W49" s="36"/>
      <c r="X49" s="37"/>
      <c r="Y49" s="38"/>
      <c r="Z49" s="37"/>
      <c r="AA49" s="39"/>
      <c r="AB49" s="39"/>
      <c r="AC49" s="40"/>
      <c r="AD49" s="36"/>
      <c r="AE49" s="37"/>
      <c r="AF49" s="38"/>
      <c r="AG49" s="37"/>
      <c r="AH49" s="39"/>
      <c r="AI49" s="39"/>
      <c r="AJ49" s="40"/>
      <c r="AK49" s="8"/>
      <c r="AL49" s="8"/>
    </row>
    <row r="50" spans="1:38">
      <c r="A50" s="8"/>
      <c r="B50" s="36"/>
      <c r="C50" s="37"/>
      <c r="D50" s="38"/>
      <c r="E50" s="37" t="s">
        <v>108</v>
      </c>
      <c r="F50" s="39"/>
      <c r="G50" s="39"/>
      <c r="H50" s="40"/>
      <c r="I50" s="36"/>
      <c r="J50" s="37"/>
      <c r="K50" s="38"/>
      <c r="L50" s="37" t="s">
        <v>108</v>
      </c>
      <c r="M50" s="39"/>
      <c r="N50" s="39"/>
      <c r="O50" s="40"/>
      <c r="P50" s="36"/>
      <c r="Q50" s="37"/>
      <c r="R50" s="38"/>
      <c r="S50" s="37" t="s">
        <v>108</v>
      </c>
      <c r="T50" s="39"/>
      <c r="U50" s="39"/>
      <c r="V50" s="40"/>
      <c r="W50" s="36"/>
      <c r="X50" s="37"/>
      <c r="Y50" s="38"/>
      <c r="Z50" s="37" t="s">
        <v>108</v>
      </c>
      <c r="AA50" s="39"/>
      <c r="AB50" s="39"/>
      <c r="AC50" s="40"/>
      <c r="AD50" s="36"/>
      <c r="AE50" s="37"/>
      <c r="AF50" s="38"/>
      <c r="AG50" s="37" t="s">
        <v>108</v>
      </c>
      <c r="AH50" s="39"/>
      <c r="AI50" s="39"/>
      <c r="AJ50" s="40"/>
      <c r="AK50" s="8"/>
      <c r="AL50" s="8"/>
    </row>
    <row r="51" spans="1:38">
      <c r="A51" s="8"/>
      <c r="B51" s="36"/>
      <c r="C51" s="37"/>
      <c r="D51" s="38"/>
      <c r="E51" s="37"/>
      <c r="F51" s="39"/>
      <c r="G51" s="39"/>
      <c r="H51" s="40"/>
      <c r="I51" s="36"/>
      <c r="J51" s="37"/>
      <c r="K51" s="38"/>
      <c r="L51" s="37"/>
      <c r="M51" s="39"/>
      <c r="N51" s="39"/>
      <c r="O51" s="40"/>
      <c r="P51" s="36"/>
      <c r="Q51" s="37"/>
      <c r="R51" s="38"/>
      <c r="S51" s="37"/>
      <c r="T51" s="39"/>
      <c r="U51" s="39"/>
      <c r="V51" s="40"/>
      <c r="W51" s="36"/>
      <c r="X51" s="37"/>
      <c r="Y51" s="38"/>
      <c r="Z51" s="37"/>
      <c r="AA51" s="39"/>
      <c r="AB51" s="39"/>
      <c r="AC51" s="40"/>
      <c r="AD51" s="36"/>
      <c r="AE51" s="37"/>
      <c r="AF51" s="38"/>
      <c r="AG51" s="37"/>
      <c r="AH51" s="39"/>
      <c r="AI51" s="39"/>
      <c r="AJ51" s="40"/>
      <c r="AK51" s="8"/>
      <c r="AL51" s="8"/>
    </row>
    <row r="52" spans="1:38">
      <c r="A52" s="8"/>
      <c r="B52" s="36"/>
      <c r="C52" s="37"/>
      <c r="D52" s="38"/>
      <c r="E52" s="37"/>
      <c r="F52" s="39"/>
      <c r="G52" s="39"/>
      <c r="H52" s="40"/>
      <c r="I52" s="36"/>
      <c r="J52" s="37"/>
      <c r="K52" s="38"/>
      <c r="L52" s="37"/>
      <c r="M52" s="39"/>
      <c r="N52" s="39"/>
      <c r="O52" s="40"/>
      <c r="P52" s="36"/>
      <c r="Q52" s="37"/>
      <c r="R52" s="38"/>
      <c r="S52" s="37"/>
      <c r="T52" s="39"/>
      <c r="U52" s="39"/>
      <c r="V52" s="40"/>
      <c r="W52" s="36"/>
      <c r="X52" s="37"/>
      <c r="Y52" s="38"/>
      <c r="Z52" s="37"/>
      <c r="AA52" s="39"/>
      <c r="AB52" s="39"/>
      <c r="AC52" s="40"/>
      <c r="AD52" s="36"/>
      <c r="AE52" s="37"/>
      <c r="AF52" s="38"/>
      <c r="AG52" s="37"/>
      <c r="AH52" s="39"/>
      <c r="AI52" s="39"/>
      <c r="AJ52" s="40"/>
      <c r="AK52" s="8"/>
      <c r="AL52" s="8"/>
    </row>
    <row r="53" spans="1:38">
      <c r="A53" s="8"/>
      <c r="B53" s="36"/>
      <c r="C53" s="37"/>
      <c r="D53" s="38"/>
      <c r="E53" s="37"/>
      <c r="F53" s="39"/>
      <c r="G53" s="39"/>
      <c r="H53" s="40"/>
      <c r="I53" s="36"/>
      <c r="J53" s="37"/>
      <c r="K53" s="38"/>
      <c r="L53" s="37"/>
      <c r="M53" s="39"/>
      <c r="N53" s="39"/>
      <c r="O53" s="40"/>
      <c r="P53" s="36"/>
      <c r="Q53" s="37"/>
      <c r="R53" s="38"/>
      <c r="S53" s="37"/>
      <c r="T53" s="39"/>
      <c r="U53" s="39"/>
      <c r="V53" s="40"/>
      <c r="W53" s="36"/>
      <c r="X53" s="37"/>
      <c r="Y53" s="38"/>
      <c r="Z53" s="37"/>
      <c r="AA53" s="39"/>
      <c r="AB53" s="39"/>
      <c r="AC53" s="40"/>
      <c r="AD53" s="36"/>
      <c r="AE53" s="37"/>
      <c r="AF53" s="38"/>
      <c r="AG53" s="37"/>
      <c r="AH53" s="39"/>
      <c r="AI53" s="39"/>
      <c r="AJ53" s="40"/>
      <c r="AK53" s="8"/>
      <c r="AL53" s="8"/>
    </row>
    <row r="54" spans="1:38">
      <c r="A54" s="8"/>
      <c r="B54" s="36"/>
      <c r="C54" s="37"/>
      <c r="D54" s="38"/>
      <c r="E54" s="37"/>
      <c r="F54" s="39"/>
      <c r="G54" s="39"/>
      <c r="H54" s="40"/>
      <c r="I54" s="36"/>
      <c r="J54" s="37"/>
      <c r="K54" s="38"/>
      <c r="L54" s="37"/>
      <c r="M54" s="39"/>
      <c r="N54" s="39"/>
      <c r="O54" s="40"/>
      <c r="P54" s="36"/>
      <c r="Q54" s="37"/>
      <c r="R54" s="38"/>
      <c r="S54" s="37"/>
      <c r="T54" s="39"/>
      <c r="U54" s="39"/>
      <c r="V54" s="40"/>
      <c r="W54" s="36"/>
      <c r="X54" s="37"/>
      <c r="Y54" s="38"/>
      <c r="Z54" s="37"/>
      <c r="AA54" s="39"/>
      <c r="AB54" s="39"/>
      <c r="AC54" s="40"/>
      <c r="AD54" s="36"/>
      <c r="AE54" s="37"/>
      <c r="AF54" s="38"/>
      <c r="AG54" s="37"/>
      <c r="AH54" s="39"/>
      <c r="AI54" s="39"/>
      <c r="AJ54" s="40"/>
      <c r="AK54" s="8"/>
      <c r="AL54" s="8"/>
    </row>
    <row r="55" spans="1:38" ht="18.75" thickBot="1">
      <c r="A55" s="8"/>
      <c r="B55" s="41"/>
      <c r="C55" s="42"/>
      <c r="D55" s="43"/>
      <c r="E55" s="42"/>
      <c r="F55" s="44"/>
      <c r="G55" s="44"/>
      <c r="H55" s="45"/>
      <c r="I55" s="41"/>
      <c r="J55" s="42"/>
      <c r="K55" s="43"/>
      <c r="L55" s="42"/>
      <c r="M55" s="44"/>
      <c r="N55" s="44"/>
      <c r="O55" s="45"/>
      <c r="P55" s="41"/>
      <c r="Q55" s="42"/>
      <c r="R55" s="43"/>
      <c r="S55" s="42"/>
      <c r="T55" s="44"/>
      <c r="U55" s="44"/>
      <c r="V55" s="45"/>
      <c r="W55" s="41"/>
      <c r="X55" s="42"/>
      <c r="Y55" s="43"/>
      <c r="Z55" s="42"/>
      <c r="AA55" s="44"/>
      <c r="AB55" s="44"/>
      <c r="AC55" s="45"/>
      <c r="AD55" s="41"/>
      <c r="AE55" s="42"/>
      <c r="AF55" s="43"/>
      <c r="AG55" s="42"/>
      <c r="AH55" s="44"/>
      <c r="AI55" s="44"/>
      <c r="AJ55" s="45"/>
      <c r="AK55" s="8"/>
      <c r="AL55" s="8"/>
    </row>
    <row r="56" spans="1:38">
      <c r="A56" s="8"/>
      <c r="B56" s="146" t="str">
        <f>IFERROR(VLOOKUP($H$56,HOLIDAYS!$B$2:$D$22,3,FALSE),"")</f>
        <v/>
      </c>
      <c r="C56" s="147"/>
      <c r="D56" s="147"/>
      <c r="E56" s="147"/>
      <c r="F56" s="147"/>
      <c r="G56" s="147"/>
      <c r="H56" s="30">
        <f>DATE(AN2,AN5,1)-WEEKDAY(DATE(AN2,AN5,1),2)+29</f>
        <v>45194</v>
      </c>
      <c r="I56" s="146" t="str">
        <f>IFERROR(VLOOKUP($O$56,HOLIDAYS!$B$2:$D$22,3,FALSE),"")</f>
        <v/>
      </c>
      <c r="J56" s="147"/>
      <c r="K56" s="147"/>
      <c r="L56" s="147"/>
      <c r="M56" s="147"/>
      <c r="N56" s="147"/>
      <c r="O56" s="30">
        <f>DATE(AN2,AN5,1)-WEEKDAY(DATE(AN2,AN5,1),2)+30</f>
        <v>45195</v>
      </c>
      <c r="P56" s="146" t="str">
        <f>IFERROR(VLOOKUP($V$56,HOLIDAYS!$B$2:$D$22,3,FALSE),"")</f>
        <v/>
      </c>
      <c r="Q56" s="147"/>
      <c r="R56" s="147"/>
      <c r="S56" s="147"/>
      <c r="T56" s="147"/>
      <c r="U56" s="147"/>
      <c r="V56" s="30">
        <f>DATE(AN2,AN5,1)-WEEKDAY(DATE(AN2,AN5,1),2)+31</f>
        <v>45196</v>
      </c>
      <c r="W56" s="146" t="str">
        <f>IFERROR(VLOOKUP($AC$56,HOLIDAYS!$B$2:$D$22,3,FALSE),"")</f>
        <v/>
      </c>
      <c r="X56" s="147"/>
      <c r="Y56" s="147"/>
      <c r="Z56" s="147"/>
      <c r="AA56" s="147"/>
      <c r="AB56" s="147"/>
      <c r="AC56" s="30">
        <f>DATE(AN2,AN5,1)-WEEKDAY(DATE(AN2,AN5,1),2)+32</f>
        <v>45197</v>
      </c>
      <c r="AD56" s="146" t="str">
        <f>IFERROR(VLOOKUP($AJ$56,HOLIDAYS!$B$2:$D$22,3,FALSE),"")</f>
        <v/>
      </c>
      <c r="AE56" s="147"/>
      <c r="AF56" s="147"/>
      <c r="AG56" s="147"/>
      <c r="AH56" s="147"/>
      <c r="AI56" s="147"/>
      <c r="AJ56" s="30">
        <f>DATE(AN2,AN5,1)-WEEKDAY(DATE(AN2,AN5,1),2)+33</f>
        <v>45198</v>
      </c>
      <c r="AK56" s="8"/>
      <c r="AL56" s="8"/>
    </row>
    <row r="57" spans="1:38">
      <c r="A57" s="8"/>
      <c r="B57" s="36"/>
      <c r="C57" s="37"/>
      <c r="D57" s="38"/>
      <c r="E57" s="37" t="s">
        <v>89</v>
      </c>
      <c r="F57" s="39"/>
      <c r="G57" s="39"/>
      <c r="H57" s="40"/>
      <c r="I57" s="36"/>
      <c r="J57" s="37"/>
      <c r="K57" s="38"/>
      <c r="L57" s="37" t="s">
        <v>89</v>
      </c>
      <c r="M57" s="39"/>
      <c r="N57" s="39"/>
      <c r="O57" s="40"/>
      <c r="P57" s="36"/>
      <c r="Q57" s="37"/>
      <c r="R57" s="38"/>
      <c r="S57" s="37" t="s">
        <v>89</v>
      </c>
      <c r="T57" s="39"/>
      <c r="U57" s="39"/>
      <c r="V57" s="40"/>
      <c r="W57" s="36"/>
      <c r="X57" s="37"/>
      <c r="Y57" s="38"/>
      <c r="Z57" s="37" t="s">
        <v>89</v>
      </c>
      <c r="AA57" s="39"/>
      <c r="AB57" s="39"/>
      <c r="AC57" s="40"/>
      <c r="AD57" s="36"/>
      <c r="AE57" s="37"/>
      <c r="AF57" s="38"/>
      <c r="AG57" s="37" t="s">
        <v>89</v>
      </c>
      <c r="AH57" s="39"/>
      <c r="AI57" s="39"/>
      <c r="AJ57" s="40"/>
      <c r="AK57" s="8"/>
      <c r="AL57" s="8"/>
    </row>
    <row r="58" spans="1:38">
      <c r="A58" s="8"/>
      <c r="B58" s="36"/>
      <c r="C58" s="37"/>
      <c r="D58" s="38"/>
      <c r="E58" s="37"/>
      <c r="F58" s="39"/>
      <c r="G58" s="39"/>
      <c r="H58" s="40"/>
      <c r="I58" s="36"/>
      <c r="J58" s="37"/>
      <c r="K58" s="38"/>
      <c r="L58" s="37"/>
      <c r="M58" s="39"/>
      <c r="N58" s="39"/>
      <c r="O58" s="40"/>
      <c r="P58" s="36"/>
      <c r="Q58" s="37"/>
      <c r="R58" s="38"/>
      <c r="S58" s="37"/>
      <c r="T58" s="39"/>
      <c r="U58" s="39"/>
      <c r="V58" s="40"/>
      <c r="W58" s="36"/>
      <c r="X58" s="37"/>
      <c r="Y58" s="38"/>
      <c r="Z58" s="37"/>
      <c r="AA58" s="39"/>
      <c r="AB58" s="39"/>
      <c r="AC58" s="40"/>
      <c r="AD58" s="36"/>
      <c r="AE58" s="37"/>
      <c r="AF58" s="38"/>
      <c r="AG58" s="37"/>
      <c r="AH58" s="39"/>
      <c r="AI58" s="39"/>
      <c r="AJ58" s="40"/>
      <c r="AK58" s="8"/>
      <c r="AL58" s="8"/>
    </row>
    <row r="59" spans="1:38">
      <c r="A59" s="8"/>
      <c r="B59" s="36"/>
      <c r="C59" s="37"/>
      <c r="D59" s="38"/>
      <c r="E59" s="37"/>
      <c r="F59" s="39"/>
      <c r="G59" s="39"/>
      <c r="H59" s="40"/>
      <c r="I59" s="36"/>
      <c r="J59" s="37"/>
      <c r="K59" s="38"/>
      <c r="L59" s="37"/>
      <c r="M59" s="39"/>
      <c r="N59" s="39"/>
      <c r="O59" s="40"/>
      <c r="P59" s="36"/>
      <c r="Q59" s="37"/>
      <c r="R59" s="38"/>
      <c r="S59" s="37"/>
      <c r="T59" s="39"/>
      <c r="U59" s="39"/>
      <c r="V59" s="40"/>
      <c r="W59" s="36"/>
      <c r="X59" s="37"/>
      <c r="Y59" s="38"/>
      <c r="Z59" s="37"/>
      <c r="AA59" s="39"/>
      <c r="AB59" s="39"/>
      <c r="AC59" s="40"/>
      <c r="AD59" s="36"/>
      <c r="AE59" s="37"/>
      <c r="AF59" s="38"/>
      <c r="AG59" s="37"/>
      <c r="AH59" s="39"/>
      <c r="AI59" s="39"/>
      <c r="AJ59" s="40"/>
      <c r="AK59" s="8"/>
      <c r="AL59" s="8"/>
    </row>
    <row r="60" spans="1:38">
      <c r="A60" s="8"/>
      <c r="B60" s="36"/>
      <c r="C60" s="37"/>
      <c r="D60" s="38"/>
      <c r="E60" s="37"/>
      <c r="F60" s="39"/>
      <c r="G60" s="39"/>
      <c r="H60" s="40"/>
      <c r="I60" s="36"/>
      <c r="J60" s="37"/>
      <c r="K60" s="38"/>
      <c r="L60" s="37"/>
      <c r="M60" s="39"/>
      <c r="N60" s="39"/>
      <c r="O60" s="40"/>
      <c r="P60" s="36"/>
      <c r="Q60" s="37"/>
      <c r="R60" s="38"/>
      <c r="S60" s="37"/>
      <c r="T60" s="39"/>
      <c r="U60" s="39"/>
      <c r="V60" s="40"/>
      <c r="W60" s="36"/>
      <c r="X60" s="37"/>
      <c r="Y60" s="38"/>
      <c r="Z60" s="37"/>
      <c r="AA60" s="39"/>
      <c r="AB60" s="39"/>
      <c r="AC60" s="40"/>
      <c r="AD60" s="36"/>
      <c r="AE60" s="37"/>
      <c r="AF60" s="38"/>
      <c r="AG60" s="37"/>
      <c r="AH60" s="39"/>
      <c r="AI60" s="39"/>
      <c r="AJ60" s="40"/>
      <c r="AK60" s="8"/>
      <c r="AL60" s="8"/>
    </row>
    <row r="61" spans="1:38">
      <c r="A61" s="8"/>
      <c r="B61" s="36"/>
      <c r="C61" s="37"/>
      <c r="D61" s="38"/>
      <c r="E61" s="37"/>
      <c r="F61" s="39"/>
      <c r="G61" s="39"/>
      <c r="H61" s="40"/>
      <c r="I61" s="36"/>
      <c r="J61" s="37"/>
      <c r="K61" s="38"/>
      <c r="L61" s="37"/>
      <c r="M61" s="39"/>
      <c r="N61" s="39"/>
      <c r="O61" s="40"/>
      <c r="P61" s="36"/>
      <c r="Q61" s="37"/>
      <c r="R61" s="38"/>
      <c r="S61" s="37"/>
      <c r="T61" s="39"/>
      <c r="U61" s="39"/>
      <c r="V61" s="40"/>
      <c r="W61" s="36"/>
      <c r="X61" s="37"/>
      <c r="Y61" s="38"/>
      <c r="Z61" s="37"/>
      <c r="AA61" s="39"/>
      <c r="AB61" s="39"/>
      <c r="AC61" s="40"/>
      <c r="AD61" s="36"/>
      <c r="AE61" s="37"/>
      <c r="AF61" s="38"/>
      <c r="AG61" s="37"/>
      <c r="AH61" s="39"/>
      <c r="AI61" s="39"/>
      <c r="AJ61" s="40"/>
      <c r="AK61" s="8"/>
      <c r="AL61" s="8"/>
    </row>
    <row r="62" spans="1:38">
      <c r="A62" s="8"/>
      <c r="B62" s="36"/>
      <c r="C62" s="37"/>
      <c r="D62" s="38"/>
      <c r="E62" s="37" t="s">
        <v>108</v>
      </c>
      <c r="F62" s="39"/>
      <c r="G62" s="39"/>
      <c r="H62" s="40"/>
      <c r="I62" s="36"/>
      <c r="J62" s="37"/>
      <c r="K62" s="38"/>
      <c r="L62" s="37" t="s">
        <v>108</v>
      </c>
      <c r="M62" s="39"/>
      <c r="N62" s="39"/>
      <c r="O62" s="40"/>
      <c r="P62" s="36"/>
      <c r="Q62" s="37"/>
      <c r="R62" s="38"/>
      <c r="S62" s="37" t="s">
        <v>108</v>
      </c>
      <c r="T62" s="39"/>
      <c r="U62" s="39"/>
      <c r="V62" s="40"/>
      <c r="W62" s="36"/>
      <c r="X62" s="37"/>
      <c r="Y62" s="38"/>
      <c r="Z62" s="37" t="s">
        <v>108</v>
      </c>
      <c r="AA62" s="39"/>
      <c r="AB62" s="39"/>
      <c r="AC62" s="40"/>
      <c r="AD62" s="36"/>
      <c r="AE62" s="37"/>
      <c r="AF62" s="38"/>
      <c r="AG62" s="37" t="s">
        <v>108</v>
      </c>
      <c r="AH62" s="39"/>
      <c r="AI62" s="39"/>
      <c r="AJ62" s="40"/>
      <c r="AK62" s="8"/>
      <c r="AL62" s="8"/>
    </row>
    <row r="63" spans="1:38">
      <c r="A63" s="8"/>
      <c r="B63" s="36"/>
      <c r="C63" s="37"/>
      <c r="D63" s="38"/>
      <c r="E63" s="37"/>
      <c r="F63" s="39"/>
      <c r="G63" s="39"/>
      <c r="H63" s="40"/>
      <c r="I63" s="36"/>
      <c r="J63" s="37"/>
      <c r="K63" s="38"/>
      <c r="L63" s="37"/>
      <c r="M63" s="39"/>
      <c r="N63" s="39"/>
      <c r="O63" s="40"/>
      <c r="P63" s="36"/>
      <c r="Q63" s="37"/>
      <c r="R63" s="38"/>
      <c r="S63" s="37"/>
      <c r="T63" s="39"/>
      <c r="U63" s="39"/>
      <c r="V63" s="40"/>
      <c r="W63" s="36"/>
      <c r="X63" s="37"/>
      <c r="Y63" s="38"/>
      <c r="Z63" s="37"/>
      <c r="AA63" s="39"/>
      <c r="AB63" s="39"/>
      <c r="AC63" s="40"/>
      <c r="AD63" s="36"/>
      <c r="AE63" s="37"/>
      <c r="AF63" s="38"/>
      <c r="AG63" s="37"/>
      <c r="AH63" s="39"/>
      <c r="AI63" s="39"/>
      <c r="AJ63" s="40"/>
      <c r="AK63" s="8"/>
      <c r="AL63" s="8"/>
    </row>
    <row r="64" spans="1:38">
      <c r="A64" s="8"/>
      <c r="B64" s="36"/>
      <c r="C64" s="37"/>
      <c r="D64" s="38"/>
      <c r="E64" s="37"/>
      <c r="F64" s="39"/>
      <c r="G64" s="39"/>
      <c r="H64" s="40"/>
      <c r="I64" s="36"/>
      <c r="J64" s="37"/>
      <c r="K64" s="38"/>
      <c r="L64" s="37"/>
      <c r="M64" s="39"/>
      <c r="N64" s="39"/>
      <c r="O64" s="40"/>
      <c r="P64" s="36"/>
      <c r="Q64" s="37"/>
      <c r="R64" s="38"/>
      <c r="S64" s="37"/>
      <c r="T64" s="39"/>
      <c r="U64" s="39"/>
      <c r="V64" s="40"/>
      <c r="W64" s="36"/>
      <c r="X64" s="37"/>
      <c r="Y64" s="38"/>
      <c r="Z64" s="37"/>
      <c r="AA64" s="39"/>
      <c r="AB64" s="39"/>
      <c r="AC64" s="40"/>
      <c r="AD64" s="36"/>
      <c r="AE64" s="37"/>
      <c r="AF64" s="38"/>
      <c r="AG64" s="37"/>
      <c r="AH64" s="39"/>
      <c r="AI64" s="39"/>
      <c r="AJ64" s="40"/>
      <c r="AK64" s="8"/>
      <c r="AL64" s="8"/>
    </row>
    <row r="65" spans="1:38">
      <c r="A65" s="8"/>
      <c r="B65" s="36"/>
      <c r="C65" s="37"/>
      <c r="D65" s="38"/>
      <c r="E65" s="37"/>
      <c r="F65" s="39"/>
      <c r="G65" s="39"/>
      <c r="H65" s="40"/>
      <c r="I65" s="36"/>
      <c r="J65" s="37"/>
      <c r="K65" s="38"/>
      <c r="L65" s="37"/>
      <c r="M65" s="39"/>
      <c r="N65" s="39"/>
      <c r="O65" s="40"/>
      <c r="P65" s="36"/>
      <c r="Q65" s="37"/>
      <c r="R65" s="38"/>
      <c r="S65" s="37"/>
      <c r="T65" s="39"/>
      <c r="U65" s="39"/>
      <c r="V65" s="40"/>
      <c r="W65" s="36"/>
      <c r="X65" s="37"/>
      <c r="Y65" s="38"/>
      <c r="Z65" s="37"/>
      <c r="AA65" s="39"/>
      <c r="AB65" s="39"/>
      <c r="AC65" s="40"/>
      <c r="AD65" s="36"/>
      <c r="AE65" s="37"/>
      <c r="AF65" s="38"/>
      <c r="AG65" s="37"/>
      <c r="AH65" s="39"/>
      <c r="AI65" s="39"/>
      <c r="AJ65" s="40"/>
      <c r="AK65" s="8"/>
      <c r="AL65" s="8"/>
    </row>
    <row r="66" spans="1:38">
      <c r="A66" s="8"/>
      <c r="B66" s="36"/>
      <c r="C66" s="37"/>
      <c r="D66" s="38"/>
      <c r="E66" s="37"/>
      <c r="F66" s="39"/>
      <c r="G66" s="39"/>
      <c r="H66" s="40"/>
      <c r="I66" s="36"/>
      <c r="J66" s="37"/>
      <c r="K66" s="38"/>
      <c r="L66" s="37"/>
      <c r="M66" s="39"/>
      <c r="N66" s="39"/>
      <c r="O66" s="40"/>
      <c r="P66" s="36"/>
      <c r="Q66" s="37"/>
      <c r="R66" s="38"/>
      <c r="S66" s="37"/>
      <c r="T66" s="39"/>
      <c r="U66" s="39"/>
      <c r="V66" s="40"/>
      <c r="W66" s="36"/>
      <c r="X66" s="37"/>
      <c r="Y66" s="38"/>
      <c r="Z66" s="37"/>
      <c r="AA66" s="39"/>
      <c r="AB66" s="39"/>
      <c r="AC66" s="40"/>
      <c r="AD66" s="36"/>
      <c r="AE66" s="37"/>
      <c r="AF66" s="38"/>
      <c r="AG66" s="37"/>
      <c r="AH66" s="39"/>
      <c r="AI66" s="39"/>
      <c r="AJ66" s="40"/>
      <c r="AK66" s="8"/>
      <c r="AL66" s="8"/>
    </row>
    <row r="67" spans="1:38" ht="18.75" thickBot="1">
      <c r="A67" s="8"/>
      <c r="B67" s="41"/>
      <c r="C67" s="42"/>
      <c r="D67" s="43"/>
      <c r="E67" s="42"/>
      <c r="F67" s="44"/>
      <c r="G67" s="44"/>
      <c r="H67" s="45"/>
      <c r="I67" s="41"/>
      <c r="J67" s="42"/>
      <c r="K67" s="43"/>
      <c r="L67" s="42"/>
      <c r="M67" s="44"/>
      <c r="N67" s="44"/>
      <c r="O67" s="45"/>
      <c r="P67" s="41"/>
      <c r="Q67" s="42"/>
      <c r="R67" s="43"/>
      <c r="S67" s="42"/>
      <c r="T67" s="44"/>
      <c r="U67" s="44"/>
      <c r="V67" s="45"/>
      <c r="W67" s="41"/>
      <c r="X67" s="42"/>
      <c r="Y67" s="43"/>
      <c r="Z67" s="42"/>
      <c r="AA67" s="44"/>
      <c r="AB67" s="44"/>
      <c r="AC67" s="45"/>
      <c r="AD67" s="41"/>
      <c r="AE67" s="42"/>
      <c r="AF67" s="43"/>
      <c r="AG67" s="42"/>
      <c r="AH67" s="44"/>
      <c r="AI67" s="44"/>
      <c r="AJ67" s="45"/>
      <c r="AK67" s="8"/>
      <c r="AL67" s="8"/>
    </row>
    <row r="68" spans="1:38">
      <c r="A68" s="8"/>
      <c r="B68" s="146" t="str">
        <f>IFERROR(VLOOKUP($H$68,HOLIDAYS!$B$2:$D$22,3,FALSE),"")</f>
        <v/>
      </c>
      <c r="C68" s="147"/>
      <c r="D68" s="147"/>
      <c r="E68" s="147"/>
      <c r="F68" s="147"/>
      <c r="G68" s="147"/>
      <c r="H68" s="30">
        <f>DATE(AN2,AN5,1)-WEEKDAY(DATE(AN2,AN5,1),2)+36</f>
        <v>45201</v>
      </c>
      <c r="I68" s="146" t="str">
        <f>IFERROR(VLOOKUP($O$68,HOLIDAYS!$B$2:$D$22,3,FALSE),"")</f>
        <v/>
      </c>
      <c r="J68" s="147"/>
      <c r="K68" s="147"/>
      <c r="L68" s="147"/>
      <c r="M68" s="147"/>
      <c r="N68" s="147"/>
      <c r="O68" s="30">
        <f>DATE(AN2,AN5,1)-WEEKDAY(DATE(AN2,AN5,1),2)+37</f>
        <v>45202</v>
      </c>
      <c r="P68" s="146" t="str">
        <f>IFERROR(VLOOKUP($V$68,HOLIDAYS!$B$2:$D$22,3,FALSE),"")</f>
        <v/>
      </c>
      <c r="Q68" s="147"/>
      <c r="R68" s="147"/>
      <c r="S68" s="147"/>
      <c r="T68" s="147"/>
      <c r="U68" s="147"/>
      <c r="V68" s="30">
        <f>DATE(AN2,AN5,1)-WEEKDAY(DATE(AN2,AN5,1),2)+38</f>
        <v>45203</v>
      </c>
      <c r="W68" s="146" t="str">
        <f>IFERROR(VLOOKUP($AC$68,HOLIDAYS!$B$2:$D$22,3,FALSE),"")</f>
        <v/>
      </c>
      <c r="X68" s="147"/>
      <c r="Y68" s="147"/>
      <c r="Z68" s="147"/>
      <c r="AA68" s="147"/>
      <c r="AB68" s="147"/>
      <c r="AC68" s="30">
        <f>DATE(AN2,AN5,1)-WEEKDAY(DATE(AN2,AN5,1),2)+39</f>
        <v>45204</v>
      </c>
      <c r="AD68" s="146" t="str">
        <f>IFERROR(VLOOKUP($AJ$68,HOLIDAYS!$B$2:$D$22,3,FALSE),"")</f>
        <v/>
      </c>
      <c r="AE68" s="147"/>
      <c r="AF68" s="147"/>
      <c r="AG68" s="147"/>
      <c r="AH68" s="147"/>
      <c r="AI68" s="147"/>
      <c r="AJ68" s="30">
        <f>DATE(AN2,AN5,1)-WEEKDAY(DATE(AN2,AN5,1),2)+40</f>
        <v>45205</v>
      </c>
      <c r="AK68" s="8"/>
      <c r="AL68" s="8"/>
    </row>
    <row r="69" spans="1:38">
      <c r="A69" s="8"/>
      <c r="B69" s="36"/>
      <c r="C69" s="37"/>
      <c r="D69" s="38"/>
      <c r="E69" s="37" t="s">
        <v>89</v>
      </c>
      <c r="F69" s="39"/>
      <c r="G69" s="39"/>
      <c r="H69" s="40"/>
      <c r="I69" s="36"/>
      <c r="J69" s="37"/>
      <c r="K69" s="38"/>
      <c r="L69" s="37" t="s">
        <v>89</v>
      </c>
      <c r="M69" s="39"/>
      <c r="N69" s="39"/>
      <c r="O69" s="40"/>
      <c r="P69" s="36"/>
      <c r="Q69" s="37"/>
      <c r="R69" s="38"/>
      <c r="S69" s="37" t="s">
        <v>89</v>
      </c>
      <c r="T69" s="39"/>
      <c r="U69" s="39"/>
      <c r="V69" s="40"/>
      <c r="W69" s="36"/>
      <c r="X69" s="37"/>
      <c r="Y69" s="38"/>
      <c r="Z69" s="37" t="s">
        <v>89</v>
      </c>
      <c r="AA69" s="39"/>
      <c r="AB69" s="39"/>
      <c r="AC69" s="40"/>
      <c r="AD69" s="36"/>
      <c r="AE69" s="37"/>
      <c r="AF69" s="38"/>
      <c r="AG69" s="37" t="s">
        <v>89</v>
      </c>
      <c r="AH69" s="39"/>
      <c r="AI69" s="39"/>
      <c r="AJ69" s="40"/>
      <c r="AK69" s="8"/>
      <c r="AL69" s="8"/>
    </row>
    <row r="70" spans="1:38">
      <c r="A70" s="8"/>
      <c r="B70" s="36"/>
      <c r="C70" s="37"/>
      <c r="D70" s="38"/>
      <c r="E70" s="37"/>
      <c r="F70" s="39"/>
      <c r="G70" s="39"/>
      <c r="H70" s="40"/>
      <c r="I70" s="36"/>
      <c r="J70" s="37"/>
      <c r="K70" s="38"/>
      <c r="L70" s="37"/>
      <c r="M70" s="39"/>
      <c r="N70" s="39"/>
      <c r="O70" s="40"/>
      <c r="P70" s="36"/>
      <c r="Q70" s="37"/>
      <c r="R70" s="38"/>
      <c r="S70" s="37"/>
      <c r="T70" s="39"/>
      <c r="U70" s="39"/>
      <c r="V70" s="40"/>
      <c r="W70" s="36"/>
      <c r="X70" s="37"/>
      <c r="Y70" s="38"/>
      <c r="Z70" s="37"/>
      <c r="AA70" s="39"/>
      <c r="AB70" s="39"/>
      <c r="AC70" s="40"/>
      <c r="AD70" s="36"/>
      <c r="AE70" s="37"/>
      <c r="AF70" s="38"/>
      <c r="AG70" s="37"/>
      <c r="AH70" s="39"/>
      <c r="AI70" s="39"/>
      <c r="AJ70" s="40"/>
      <c r="AK70" s="8"/>
      <c r="AL70" s="8"/>
    </row>
    <row r="71" spans="1:38">
      <c r="A71" s="8"/>
      <c r="B71" s="36"/>
      <c r="C71" s="37"/>
      <c r="D71" s="38"/>
      <c r="E71" s="37"/>
      <c r="F71" s="39"/>
      <c r="G71" s="39"/>
      <c r="H71" s="40"/>
      <c r="I71" s="36"/>
      <c r="J71" s="37"/>
      <c r="K71" s="38"/>
      <c r="L71" s="37"/>
      <c r="M71" s="39"/>
      <c r="N71" s="39"/>
      <c r="O71" s="40"/>
      <c r="P71" s="36"/>
      <c r="Q71" s="37"/>
      <c r="R71" s="38"/>
      <c r="S71" s="37"/>
      <c r="T71" s="39"/>
      <c r="U71" s="39"/>
      <c r="V71" s="40"/>
      <c r="W71" s="36"/>
      <c r="X71" s="37"/>
      <c r="Y71" s="38"/>
      <c r="Z71" s="37"/>
      <c r="AA71" s="39"/>
      <c r="AB71" s="39"/>
      <c r="AC71" s="40"/>
      <c r="AD71" s="36"/>
      <c r="AE71" s="37"/>
      <c r="AF71" s="38"/>
      <c r="AG71" s="37"/>
      <c r="AH71" s="39"/>
      <c r="AI71" s="39"/>
      <c r="AJ71" s="40"/>
      <c r="AK71" s="8"/>
      <c r="AL71" s="8"/>
    </row>
    <row r="72" spans="1:38">
      <c r="A72" s="8"/>
      <c r="B72" s="36"/>
      <c r="C72" s="37"/>
      <c r="D72" s="38"/>
      <c r="E72" s="37"/>
      <c r="F72" s="39"/>
      <c r="G72" s="39"/>
      <c r="H72" s="40"/>
      <c r="I72" s="36"/>
      <c r="J72" s="37"/>
      <c r="K72" s="38"/>
      <c r="L72" s="37"/>
      <c r="M72" s="39"/>
      <c r="N72" s="39"/>
      <c r="O72" s="40"/>
      <c r="P72" s="36"/>
      <c r="Q72" s="37"/>
      <c r="R72" s="38"/>
      <c r="S72" s="37"/>
      <c r="T72" s="39"/>
      <c r="U72" s="39"/>
      <c r="V72" s="40"/>
      <c r="W72" s="36"/>
      <c r="X72" s="37"/>
      <c r="Y72" s="38"/>
      <c r="Z72" s="37"/>
      <c r="AA72" s="39"/>
      <c r="AB72" s="39"/>
      <c r="AC72" s="40"/>
      <c r="AD72" s="36"/>
      <c r="AE72" s="37"/>
      <c r="AF72" s="38"/>
      <c r="AG72" s="37"/>
      <c r="AH72" s="39"/>
      <c r="AI72" s="39"/>
      <c r="AJ72" s="40"/>
      <c r="AK72" s="8"/>
      <c r="AL72" s="8"/>
    </row>
    <row r="73" spans="1:38">
      <c r="A73" s="8"/>
      <c r="B73" s="36"/>
      <c r="C73" s="37"/>
      <c r="D73" s="38"/>
      <c r="E73" s="37"/>
      <c r="F73" s="39"/>
      <c r="G73" s="39"/>
      <c r="H73" s="40"/>
      <c r="I73" s="36"/>
      <c r="J73" s="37"/>
      <c r="K73" s="38"/>
      <c r="L73" s="37"/>
      <c r="M73" s="39"/>
      <c r="N73" s="39"/>
      <c r="O73" s="40"/>
      <c r="P73" s="36"/>
      <c r="Q73" s="37"/>
      <c r="R73" s="38"/>
      <c r="S73" s="37"/>
      <c r="T73" s="39"/>
      <c r="U73" s="39"/>
      <c r="V73" s="40"/>
      <c r="W73" s="36"/>
      <c r="X73" s="37"/>
      <c r="Y73" s="38"/>
      <c r="Z73" s="37"/>
      <c r="AA73" s="39"/>
      <c r="AB73" s="39"/>
      <c r="AC73" s="40"/>
      <c r="AD73" s="36"/>
      <c r="AE73" s="37"/>
      <c r="AF73" s="38"/>
      <c r="AG73" s="37"/>
      <c r="AH73" s="39"/>
      <c r="AI73" s="39"/>
      <c r="AJ73" s="40"/>
      <c r="AK73" s="8"/>
      <c r="AL73" s="8"/>
    </row>
    <row r="74" spans="1:38">
      <c r="A74" s="8"/>
      <c r="B74" s="36"/>
      <c r="C74" s="37"/>
      <c r="D74" s="38"/>
      <c r="E74" s="37" t="s">
        <v>108</v>
      </c>
      <c r="F74" s="39"/>
      <c r="G74" s="39"/>
      <c r="H74" s="40"/>
      <c r="I74" s="36"/>
      <c r="J74" s="37"/>
      <c r="K74" s="38"/>
      <c r="L74" s="37" t="s">
        <v>108</v>
      </c>
      <c r="M74" s="39"/>
      <c r="N74" s="39"/>
      <c r="O74" s="40"/>
      <c r="P74" s="36"/>
      <c r="Q74" s="37"/>
      <c r="R74" s="38"/>
      <c r="S74" s="37" t="s">
        <v>108</v>
      </c>
      <c r="T74" s="39"/>
      <c r="U74" s="39"/>
      <c r="V74" s="40"/>
      <c r="W74" s="36"/>
      <c r="X74" s="37"/>
      <c r="Y74" s="38"/>
      <c r="Z74" s="37" t="s">
        <v>108</v>
      </c>
      <c r="AA74" s="39"/>
      <c r="AB74" s="39"/>
      <c r="AC74" s="40"/>
      <c r="AD74" s="36"/>
      <c r="AE74" s="37"/>
      <c r="AF74" s="38"/>
      <c r="AG74" s="37" t="s">
        <v>108</v>
      </c>
      <c r="AH74" s="39"/>
      <c r="AI74" s="39"/>
      <c r="AJ74" s="40"/>
      <c r="AK74" s="8"/>
      <c r="AL74" s="8"/>
    </row>
    <row r="75" spans="1:38">
      <c r="A75" s="8"/>
      <c r="B75" s="36"/>
      <c r="C75" s="37"/>
      <c r="D75" s="38"/>
      <c r="E75" s="37"/>
      <c r="F75" s="39"/>
      <c r="G75" s="39"/>
      <c r="H75" s="40"/>
      <c r="I75" s="36"/>
      <c r="J75" s="37"/>
      <c r="K75" s="38"/>
      <c r="L75" s="37"/>
      <c r="M75" s="39"/>
      <c r="N75" s="39"/>
      <c r="O75" s="40"/>
      <c r="P75" s="36"/>
      <c r="Q75" s="37"/>
      <c r="R75" s="38"/>
      <c r="S75" s="37"/>
      <c r="T75" s="39"/>
      <c r="U75" s="39"/>
      <c r="V75" s="40"/>
      <c r="W75" s="36"/>
      <c r="X75" s="37"/>
      <c r="Y75" s="38"/>
      <c r="Z75" s="37"/>
      <c r="AA75" s="39"/>
      <c r="AB75" s="39"/>
      <c r="AC75" s="40"/>
      <c r="AD75" s="36"/>
      <c r="AE75" s="37"/>
      <c r="AF75" s="38"/>
      <c r="AG75" s="37"/>
      <c r="AH75" s="39"/>
      <c r="AI75" s="39"/>
      <c r="AJ75" s="40"/>
      <c r="AK75" s="8"/>
      <c r="AL75" s="8"/>
    </row>
    <row r="76" spans="1:38">
      <c r="A76" s="8"/>
      <c r="B76" s="36"/>
      <c r="C76" s="37"/>
      <c r="D76" s="38"/>
      <c r="E76" s="37"/>
      <c r="F76" s="39"/>
      <c r="G76" s="39"/>
      <c r="H76" s="40"/>
      <c r="I76" s="36"/>
      <c r="J76" s="37"/>
      <c r="K76" s="38"/>
      <c r="L76" s="37"/>
      <c r="M76" s="39"/>
      <c r="N76" s="39"/>
      <c r="O76" s="40"/>
      <c r="P76" s="36"/>
      <c r="Q76" s="37"/>
      <c r="R76" s="38"/>
      <c r="S76" s="37"/>
      <c r="T76" s="39"/>
      <c r="U76" s="39"/>
      <c r="V76" s="40"/>
      <c r="W76" s="36"/>
      <c r="X76" s="37"/>
      <c r="Y76" s="38"/>
      <c r="Z76" s="37"/>
      <c r="AA76" s="39"/>
      <c r="AB76" s="39"/>
      <c r="AC76" s="40"/>
      <c r="AD76" s="36"/>
      <c r="AE76" s="37"/>
      <c r="AF76" s="38"/>
      <c r="AG76" s="37"/>
      <c r="AH76" s="39"/>
      <c r="AI76" s="39"/>
      <c r="AJ76" s="40"/>
      <c r="AK76" s="8"/>
      <c r="AL76" s="8"/>
    </row>
    <row r="77" spans="1:38">
      <c r="A77" s="8"/>
      <c r="B77" s="36"/>
      <c r="C77" s="37"/>
      <c r="D77" s="38"/>
      <c r="E77" s="37"/>
      <c r="F77" s="39"/>
      <c r="G77" s="39"/>
      <c r="H77" s="40"/>
      <c r="I77" s="36"/>
      <c r="J77" s="37"/>
      <c r="K77" s="38"/>
      <c r="L77" s="37"/>
      <c r="M77" s="39"/>
      <c r="N77" s="39"/>
      <c r="O77" s="40"/>
      <c r="P77" s="36"/>
      <c r="Q77" s="37"/>
      <c r="R77" s="38"/>
      <c r="S77" s="37"/>
      <c r="T77" s="39"/>
      <c r="U77" s="39"/>
      <c r="V77" s="40"/>
      <c r="W77" s="36"/>
      <c r="X77" s="37"/>
      <c r="Y77" s="38"/>
      <c r="Z77" s="37"/>
      <c r="AA77" s="39"/>
      <c r="AB77" s="39"/>
      <c r="AC77" s="40"/>
      <c r="AD77" s="36"/>
      <c r="AE77" s="37"/>
      <c r="AF77" s="38"/>
      <c r="AG77" s="37"/>
      <c r="AH77" s="39"/>
      <c r="AI77" s="39"/>
      <c r="AJ77" s="40"/>
      <c r="AK77" s="8"/>
      <c r="AL77" s="8"/>
    </row>
    <row r="78" spans="1:38">
      <c r="A78" s="8"/>
      <c r="B78" s="36"/>
      <c r="C78" s="37"/>
      <c r="D78" s="38"/>
      <c r="E78" s="37"/>
      <c r="F78" s="39"/>
      <c r="G78" s="39"/>
      <c r="H78" s="40"/>
      <c r="I78" s="36"/>
      <c r="J78" s="37"/>
      <c r="K78" s="38"/>
      <c r="L78" s="37"/>
      <c r="M78" s="39"/>
      <c r="N78" s="39"/>
      <c r="O78" s="40"/>
      <c r="P78" s="36"/>
      <c r="Q78" s="37"/>
      <c r="R78" s="38"/>
      <c r="S78" s="37"/>
      <c r="T78" s="39"/>
      <c r="U78" s="39"/>
      <c r="V78" s="40"/>
      <c r="W78" s="36"/>
      <c r="X78" s="37"/>
      <c r="Y78" s="38"/>
      <c r="Z78" s="37"/>
      <c r="AA78" s="39"/>
      <c r="AB78" s="39"/>
      <c r="AC78" s="40"/>
      <c r="AD78" s="36"/>
      <c r="AE78" s="37"/>
      <c r="AF78" s="38"/>
      <c r="AG78" s="37"/>
      <c r="AH78" s="39"/>
      <c r="AI78" s="39"/>
      <c r="AJ78" s="40"/>
      <c r="AK78" s="8"/>
      <c r="AL78" s="8"/>
    </row>
    <row r="79" spans="1:38" ht="18.75" thickBot="1">
      <c r="A79" s="8"/>
      <c r="B79" s="41"/>
      <c r="C79" s="42"/>
      <c r="D79" s="43"/>
      <c r="E79" s="42"/>
      <c r="F79" s="44"/>
      <c r="G79" s="44"/>
      <c r="H79" s="45"/>
      <c r="I79" s="41"/>
      <c r="J79" s="42"/>
      <c r="K79" s="43"/>
      <c r="L79" s="42"/>
      <c r="M79" s="44"/>
      <c r="N79" s="44"/>
      <c r="O79" s="45"/>
      <c r="P79" s="41"/>
      <c r="Q79" s="42"/>
      <c r="R79" s="43"/>
      <c r="S79" s="42"/>
      <c r="T79" s="44"/>
      <c r="U79" s="44"/>
      <c r="V79" s="45"/>
      <c r="W79" s="41"/>
      <c r="X79" s="42"/>
      <c r="Y79" s="43"/>
      <c r="Z79" s="42"/>
      <c r="AA79" s="44"/>
      <c r="AB79" s="44"/>
      <c r="AC79" s="45"/>
      <c r="AD79" s="41"/>
      <c r="AE79" s="42"/>
      <c r="AF79" s="43"/>
      <c r="AG79" s="42"/>
      <c r="AH79" s="44"/>
      <c r="AI79" s="44"/>
      <c r="AJ79" s="45"/>
      <c r="AK79" s="8"/>
      <c r="AL79" s="8"/>
    </row>
    <row r="80" spans="1:38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</row>
    <row r="81" spans="1:38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</row>
    <row r="82" spans="1:38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</row>
    <row r="83" spans="1:38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</row>
  </sheetData>
  <sheetProtection algorithmName="SHA-512" hashValue="usTKs/8bNe5e526fm3/pPFMzz7YkDzadRivnxF2htyZOZy3TJNb2qwO5K6KH0mG5ec47QVSumPUATi0/dR+66Q==" saltValue="i0xf02Ycugf+VnFzjIBwAA==" spinCount="100000" sheet="1" objects="1" scenarios="1"/>
  <customSheetViews>
    <customSheetView guid="{37A1A5CD-453E-7045-9B11-D167516DD85F}" scale="41" showPageBreaks="1" view="pageBreakPreview">
      <pane ySplit="7" topLeftCell="A8" activePane="bottomLeft" state="frozen"/>
      <selection pane="bottomLeft" activeCell="AJ79" sqref="A1:AJ79"/>
    </customSheetView>
  </customSheetViews>
  <mergeCells count="41">
    <mergeCell ref="AD20:AI20"/>
    <mergeCell ref="AD32:AI32"/>
    <mergeCell ref="AD44:AI44"/>
    <mergeCell ref="AD56:AI56"/>
    <mergeCell ref="AD68:AI68"/>
    <mergeCell ref="W68:AB68"/>
    <mergeCell ref="W56:AB56"/>
    <mergeCell ref="W44:AB44"/>
    <mergeCell ref="W32:AB32"/>
    <mergeCell ref="W20:AB20"/>
    <mergeCell ref="P20:U20"/>
    <mergeCell ref="P32:U32"/>
    <mergeCell ref="P44:U44"/>
    <mergeCell ref="P56:U56"/>
    <mergeCell ref="P68:U68"/>
    <mergeCell ref="I20:N20"/>
    <mergeCell ref="I32:N32"/>
    <mergeCell ref="I44:N44"/>
    <mergeCell ref="I56:N56"/>
    <mergeCell ref="I68:N68"/>
    <mergeCell ref="B20:G20"/>
    <mergeCell ref="B32:G32"/>
    <mergeCell ref="B44:G44"/>
    <mergeCell ref="B56:G56"/>
    <mergeCell ref="B68:G68"/>
    <mergeCell ref="B8:G8"/>
    <mergeCell ref="I8:N8"/>
    <mergeCell ref="P8:U8"/>
    <mergeCell ref="W8:AB8"/>
    <mergeCell ref="AD8:AI8"/>
    <mergeCell ref="B1:D1"/>
    <mergeCell ref="AM1:AO1"/>
    <mergeCell ref="AM2:AM3"/>
    <mergeCell ref="AN2:AN3"/>
    <mergeCell ref="AM5:AM6"/>
    <mergeCell ref="AN5:AN6"/>
    <mergeCell ref="B2:H2"/>
    <mergeCell ref="I2:O2"/>
    <mergeCell ref="P2:V2"/>
    <mergeCell ref="W2:AC2"/>
    <mergeCell ref="AD2:AJ2"/>
  </mergeCells>
  <conditionalFormatting sqref="C9:C19">
    <cfRule type="containsText" dxfId="637" priority="320" operator="containsText" text="ONE">
      <formula>NOT(ISERROR(SEARCH("ONE",C9)))</formula>
    </cfRule>
    <cfRule type="containsText" dxfId="636" priority="321" operator="containsText" text="GEM">
      <formula>NOT(ISERROR(SEARCH("GEM",C9)))</formula>
    </cfRule>
    <cfRule type="containsText" dxfId="635" priority="322" operator="containsText" text="ANIMAX">
      <formula>NOT(ISERROR(SEARCH("ANIMAX",C9)))</formula>
    </cfRule>
    <cfRule type="containsText" dxfId="634" priority="323" operator="containsText" text="AXN TW">
      <formula>NOT(ISERROR(SEARCH("AXN TW",C9)))</formula>
    </cfRule>
    <cfRule type="containsText" dxfId="633" priority="324" operator="containsText" text="AXN">
      <formula>NOT(ISERROR(SEARCH("AXN",C9)))</formula>
    </cfRule>
  </conditionalFormatting>
  <conditionalFormatting sqref="E9:E19">
    <cfRule type="containsText" dxfId="632" priority="317" stopIfTrue="1" operator="containsText" text="Master">
      <formula>NOT(ISERROR(SEARCH("Master",E9)))</formula>
    </cfRule>
    <cfRule type="containsText" dxfId="631" priority="318" stopIfTrue="1" operator="containsText" text="Freelance Audio">
      <formula>NOT(ISERROR(SEARCH("Freelance Audio",E9)))</formula>
    </cfRule>
    <cfRule type="containsText" dxfId="630" priority="319" stopIfTrue="1" operator="containsText" text="Audio">
      <formula>NOT(ISERROR(SEARCH("Audio",E9)))</formula>
    </cfRule>
  </conditionalFormatting>
  <conditionalFormatting sqref="J9:J19">
    <cfRule type="containsText" dxfId="629" priority="312" operator="containsText" text="ONE">
      <formula>NOT(ISERROR(SEARCH("ONE",J9)))</formula>
    </cfRule>
    <cfRule type="containsText" dxfId="628" priority="313" operator="containsText" text="GEM">
      <formula>NOT(ISERROR(SEARCH("GEM",J9)))</formula>
    </cfRule>
    <cfRule type="containsText" dxfId="627" priority="314" operator="containsText" text="ANIMAX">
      <formula>NOT(ISERROR(SEARCH("ANIMAX",J9)))</formula>
    </cfRule>
    <cfRule type="containsText" dxfId="626" priority="315" operator="containsText" text="AXN TW">
      <formula>NOT(ISERROR(SEARCH("AXN TW",J9)))</formula>
    </cfRule>
    <cfRule type="containsText" dxfId="625" priority="316" operator="containsText" text="AXN">
      <formula>NOT(ISERROR(SEARCH("AXN",J9)))</formula>
    </cfRule>
  </conditionalFormatting>
  <conditionalFormatting sqref="L9:L19">
    <cfRule type="containsText" dxfId="624" priority="309" stopIfTrue="1" operator="containsText" text="Master">
      <formula>NOT(ISERROR(SEARCH("Master",L9)))</formula>
    </cfRule>
    <cfRule type="containsText" dxfId="623" priority="310" stopIfTrue="1" operator="containsText" text="Freelance Audio">
      <formula>NOT(ISERROR(SEARCH("Freelance Audio",L9)))</formula>
    </cfRule>
    <cfRule type="containsText" dxfId="622" priority="311" stopIfTrue="1" operator="containsText" text="Audio">
      <formula>NOT(ISERROR(SEARCH("Audio",L9)))</formula>
    </cfRule>
  </conditionalFormatting>
  <conditionalFormatting sqref="Q9:Q19">
    <cfRule type="containsText" dxfId="621" priority="304" operator="containsText" text="ONE">
      <formula>NOT(ISERROR(SEARCH("ONE",Q9)))</formula>
    </cfRule>
    <cfRule type="containsText" dxfId="620" priority="305" operator="containsText" text="GEM">
      <formula>NOT(ISERROR(SEARCH("GEM",Q9)))</formula>
    </cfRule>
    <cfRule type="containsText" dxfId="619" priority="306" operator="containsText" text="ANIMAX">
      <formula>NOT(ISERROR(SEARCH("ANIMAX",Q9)))</formula>
    </cfRule>
    <cfRule type="containsText" dxfId="618" priority="307" operator="containsText" text="AXN TW">
      <formula>NOT(ISERROR(SEARCH("AXN TW",Q9)))</formula>
    </cfRule>
    <cfRule type="containsText" dxfId="617" priority="308" operator="containsText" text="AXN">
      <formula>NOT(ISERROR(SEARCH("AXN",Q9)))</formula>
    </cfRule>
  </conditionalFormatting>
  <conditionalFormatting sqref="S9:S19">
    <cfRule type="containsText" dxfId="616" priority="301" stopIfTrue="1" operator="containsText" text="Master">
      <formula>NOT(ISERROR(SEARCH("Master",S9)))</formula>
    </cfRule>
    <cfRule type="containsText" dxfId="615" priority="302" stopIfTrue="1" operator="containsText" text="Freelance Audio">
      <formula>NOT(ISERROR(SEARCH("Freelance Audio",S9)))</formula>
    </cfRule>
    <cfRule type="containsText" dxfId="614" priority="303" stopIfTrue="1" operator="containsText" text="Audio">
      <formula>NOT(ISERROR(SEARCH("Audio",S9)))</formula>
    </cfRule>
  </conditionalFormatting>
  <conditionalFormatting sqref="X9:X19">
    <cfRule type="containsText" dxfId="613" priority="296" operator="containsText" text="ONE">
      <formula>NOT(ISERROR(SEARCH("ONE",X9)))</formula>
    </cfRule>
    <cfRule type="containsText" dxfId="612" priority="297" operator="containsText" text="GEM">
      <formula>NOT(ISERROR(SEARCH("GEM",X9)))</formula>
    </cfRule>
    <cfRule type="containsText" dxfId="611" priority="298" operator="containsText" text="ANIMAX">
      <formula>NOT(ISERROR(SEARCH("ANIMAX",X9)))</formula>
    </cfRule>
    <cfRule type="containsText" dxfId="610" priority="299" operator="containsText" text="AXN TW">
      <formula>NOT(ISERROR(SEARCH("AXN TW",X9)))</formula>
    </cfRule>
    <cfRule type="containsText" dxfId="609" priority="300" operator="containsText" text="AXN">
      <formula>NOT(ISERROR(SEARCH("AXN",X9)))</formula>
    </cfRule>
  </conditionalFormatting>
  <conditionalFormatting sqref="Z9:Z19">
    <cfRule type="containsText" dxfId="608" priority="293" stopIfTrue="1" operator="containsText" text="Master">
      <formula>NOT(ISERROR(SEARCH("Master",Z9)))</formula>
    </cfRule>
    <cfRule type="containsText" dxfId="607" priority="294" stopIfTrue="1" operator="containsText" text="Freelance Audio">
      <formula>NOT(ISERROR(SEARCH("Freelance Audio",Z9)))</formula>
    </cfRule>
    <cfRule type="containsText" dxfId="606" priority="295" stopIfTrue="1" operator="containsText" text="Audio">
      <formula>NOT(ISERROR(SEARCH("Audio",Z9)))</formula>
    </cfRule>
  </conditionalFormatting>
  <conditionalFormatting sqref="AE9:AE19">
    <cfRule type="containsText" dxfId="605" priority="288" operator="containsText" text="ONE">
      <formula>NOT(ISERROR(SEARCH("ONE",AE9)))</formula>
    </cfRule>
    <cfRule type="containsText" dxfId="604" priority="289" operator="containsText" text="GEM">
      <formula>NOT(ISERROR(SEARCH("GEM",AE9)))</formula>
    </cfRule>
    <cfRule type="containsText" dxfId="603" priority="290" operator="containsText" text="ANIMAX">
      <formula>NOT(ISERROR(SEARCH("ANIMAX",AE9)))</formula>
    </cfRule>
    <cfRule type="containsText" dxfId="602" priority="291" operator="containsText" text="AXN TW">
      <formula>NOT(ISERROR(SEARCH("AXN TW",AE9)))</formula>
    </cfRule>
    <cfRule type="containsText" dxfId="601" priority="292" operator="containsText" text="AXN">
      <formula>NOT(ISERROR(SEARCH("AXN",AE9)))</formula>
    </cfRule>
  </conditionalFormatting>
  <conditionalFormatting sqref="AG9:AG19">
    <cfRule type="containsText" dxfId="600" priority="285" stopIfTrue="1" operator="containsText" text="Master">
      <formula>NOT(ISERROR(SEARCH("Master",AG9)))</formula>
    </cfRule>
    <cfRule type="containsText" dxfId="599" priority="286" stopIfTrue="1" operator="containsText" text="Freelance Audio">
      <formula>NOT(ISERROR(SEARCH("Freelance Audio",AG9)))</formula>
    </cfRule>
    <cfRule type="containsText" dxfId="598" priority="287" stopIfTrue="1" operator="containsText" text="Audio">
      <formula>NOT(ISERROR(SEARCH("Audio",AG9)))</formula>
    </cfRule>
  </conditionalFormatting>
  <conditionalFormatting sqref="C21:C31">
    <cfRule type="containsText" dxfId="597" priority="280" operator="containsText" text="ONE">
      <formula>NOT(ISERROR(SEARCH("ONE",C21)))</formula>
    </cfRule>
    <cfRule type="containsText" dxfId="596" priority="281" operator="containsText" text="GEM">
      <formula>NOT(ISERROR(SEARCH("GEM",C21)))</formula>
    </cfRule>
    <cfRule type="containsText" dxfId="595" priority="282" operator="containsText" text="ANIMAX">
      <formula>NOT(ISERROR(SEARCH("ANIMAX",C21)))</formula>
    </cfRule>
    <cfRule type="containsText" dxfId="594" priority="283" operator="containsText" text="AXN TW">
      <formula>NOT(ISERROR(SEARCH("AXN TW",C21)))</formula>
    </cfRule>
    <cfRule type="containsText" dxfId="593" priority="284" operator="containsText" text="AXN">
      <formula>NOT(ISERROR(SEARCH("AXN",C21)))</formula>
    </cfRule>
  </conditionalFormatting>
  <conditionalFormatting sqref="E21:E31">
    <cfRule type="containsText" dxfId="592" priority="277" stopIfTrue="1" operator="containsText" text="Master">
      <formula>NOT(ISERROR(SEARCH("Master",E21)))</formula>
    </cfRule>
    <cfRule type="containsText" dxfId="591" priority="278" stopIfTrue="1" operator="containsText" text="Freelance Audio">
      <formula>NOT(ISERROR(SEARCH("Freelance Audio",E21)))</formula>
    </cfRule>
    <cfRule type="containsText" dxfId="590" priority="279" stopIfTrue="1" operator="containsText" text="Audio">
      <formula>NOT(ISERROR(SEARCH("Audio",E21)))</formula>
    </cfRule>
  </conditionalFormatting>
  <conditionalFormatting sqref="J21:J31">
    <cfRule type="containsText" dxfId="589" priority="272" operator="containsText" text="ONE">
      <formula>NOT(ISERROR(SEARCH("ONE",J21)))</formula>
    </cfRule>
    <cfRule type="containsText" dxfId="588" priority="273" operator="containsText" text="GEM">
      <formula>NOT(ISERROR(SEARCH("GEM",J21)))</formula>
    </cfRule>
    <cfRule type="containsText" dxfId="587" priority="274" operator="containsText" text="ANIMAX">
      <formula>NOT(ISERROR(SEARCH("ANIMAX",J21)))</formula>
    </cfRule>
    <cfRule type="containsText" dxfId="586" priority="275" operator="containsText" text="AXN TW">
      <formula>NOT(ISERROR(SEARCH("AXN TW",J21)))</formula>
    </cfRule>
    <cfRule type="containsText" dxfId="585" priority="276" operator="containsText" text="AXN">
      <formula>NOT(ISERROR(SEARCH("AXN",J21)))</formula>
    </cfRule>
  </conditionalFormatting>
  <conditionalFormatting sqref="L21:L31">
    <cfRule type="containsText" dxfId="584" priority="269" stopIfTrue="1" operator="containsText" text="Master">
      <formula>NOT(ISERROR(SEARCH("Master",L21)))</formula>
    </cfRule>
    <cfRule type="containsText" dxfId="583" priority="270" stopIfTrue="1" operator="containsText" text="Freelance Audio">
      <formula>NOT(ISERROR(SEARCH("Freelance Audio",L21)))</formula>
    </cfRule>
    <cfRule type="containsText" dxfId="582" priority="271" stopIfTrue="1" operator="containsText" text="Audio">
      <formula>NOT(ISERROR(SEARCH("Audio",L21)))</formula>
    </cfRule>
  </conditionalFormatting>
  <conditionalFormatting sqref="Q21:Q31">
    <cfRule type="containsText" dxfId="581" priority="264" operator="containsText" text="ONE">
      <formula>NOT(ISERROR(SEARCH("ONE",Q21)))</formula>
    </cfRule>
    <cfRule type="containsText" dxfId="580" priority="265" operator="containsText" text="GEM">
      <formula>NOT(ISERROR(SEARCH("GEM",Q21)))</formula>
    </cfRule>
    <cfRule type="containsText" dxfId="579" priority="266" operator="containsText" text="ANIMAX">
      <formula>NOT(ISERROR(SEARCH("ANIMAX",Q21)))</formula>
    </cfRule>
    <cfRule type="containsText" dxfId="578" priority="267" operator="containsText" text="AXN TW">
      <formula>NOT(ISERROR(SEARCH("AXN TW",Q21)))</formula>
    </cfRule>
    <cfRule type="containsText" dxfId="577" priority="268" operator="containsText" text="AXN">
      <formula>NOT(ISERROR(SEARCH("AXN",Q21)))</formula>
    </cfRule>
  </conditionalFormatting>
  <conditionalFormatting sqref="S21:S31">
    <cfRule type="containsText" dxfId="576" priority="261" stopIfTrue="1" operator="containsText" text="Master">
      <formula>NOT(ISERROR(SEARCH("Master",S21)))</formula>
    </cfRule>
    <cfRule type="containsText" dxfId="575" priority="262" stopIfTrue="1" operator="containsText" text="Freelance Audio">
      <formula>NOT(ISERROR(SEARCH("Freelance Audio",S21)))</formula>
    </cfRule>
    <cfRule type="containsText" dxfId="574" priority="263" stopIfTrue="1" operator="containsText" text="Audio">
      <formula>NOT(ISERROR(SEARCH("Audio",S21)))</formula>
    </cfRule>
  </conditionalFormatting>
  <conditionalFormatting sqref="X21:X31">
    <cfRule type="containsText" dxfId="573" priority="256" operator="containsText" text="ONE">
      <formula>NOT(ISERROR(SEARCH("ONE",X21)))</formula>
    </cfRule>
    <cfRule type="containsText" dxfId="572" priority="257" operator="containsText" text="GEM">
      <formula>NOT(ISERROR(SEARCH("GEM",X21)))</formula>
    </cfRule>
    <cfRule type="containsText" dxfId="571" priority="258" operator="containsText" text="ANIMAX">
      <formula>NOT(ISERROR(SEARCH("ANIMAX",X21)))</formula>
    </cfRule>
    <cfRule type="containsText" dxfId="570" priority="259" operator="containsText" text="AXN TW">
      <formula>NOT(ISERROR(SEARCH("AXN TW",X21)))</formula>
    </cfRule>
    <cfRule type="containsText" dxfId="569" priority="260" operator="containsText" text="AXN">
      <formula>NOT(ISERROR(SEARCH("AXN",X21)))</formula>
    </cfRule>
  </conditionalFormatting>
  <conditionalFormatting sqref="Z21:Z31">
    <cfRule type="containsText" dxfId="568" priority="253" stopIfTrue="1" operator="containsText" text="Master">
      <formula>NOT(ISERROR(SEARCH("Master",Z21)))</formula>
    </cfRule>
    <cfRule type="containsText" dxfId="567" priority="254" stopIfTrue="1" operator="containsText" text="Freelance Audio">
      <formula>NOT(ISERROR(SEARCH("Freelance Audio",Z21)))</formula>
    </cfRule>
    <cfRule type="containsText" dxfId="566" priority="255" stopIfTrue="1" operator="containsText" text="Audio">
      <formula>NOT(ISERROR(SEARCH("Audio",Z21)))</formula>
    </cfRule>
  </conditionalFormatting>
  <conditionalFormatting sqref="AE21:AE31">
    <cfRule type="containsText" dxfId="565" priority="248" operator="containsText" text="ONE">
      <formula>NOT(ISERROR(SEARCH("ONE",AE21)))</formula>
    </cfRule>
    <cfRule type="containsText" dxfId="564" priority="249" operator="containsText" text="GEM">
      <formula>NOT(ISERROR(SEARCH("GEM",AE21)))</formula>
    </cfRule>
    <cfRule type="containsText" dxfId="563" priority="250" operator="containsText" text="ANIMAX">
      <formula>NOT(ISERROR(SEARCH("ANIMAX",AE21)))</formula>
    </cfRule>
    <cfRule type="containsText" dxfId="562" priority="251" operator="containsText" text="AXN TW">
      <formula>NOT(ISERROR(SEARCH("AXN TW",AE21)))</formula>
    </cfRule>
    <cfRule type="containsText" dxfId="561" priority="252" operator="containsText" text="AXN">
      <formula>NOT(ISERROR(SEARCH("AXN",AE21)))</formula>
    </cfRule>
  </conditionalFormatting>
  <conditionalFormatting sqref="AG21:AG31">
    <cfRule type="containsText" dxfId="560" priority="245" stopIfTrue="1" operator="containsText" text="Master">
      <formula>NOT(ISERROR(SEARCH("Master",AG21)))</formula>
    </cfRule>
    <cfRule type="containsText" dxfId="559" priority="246" stopIfTrue="1" operator="containsText" text="Freelance Audio">
      <formula>NOT(ISERROR(SEARCH("Freelance Audio",AG21)))</formula>
    </cfRule>
    <cfRule type="containsText" dxfId="558" priority="247" stopIfTrue="1" operator="containsText" text="Audio">
      <formula>NOT(ISERROR(SEARCH("Audio",AG21)))</formula>
    </cfRule>
  </conditionalFormatting>
  <conditionalFormatting sqref="C33:C43">
    <cfRule type="containsText" dxfId="557" priority="240" operator="containsText" text="ONE">
      <formula>NOT(ISERROR(SEARCH("ONE",C33)))</formula>
    </cfRule>
    <cfRule type="containsText" dxfId="556" priority="241" operator="containsText" text="GEM">
      <formula>NOT(ISERROR(SEARCH("GEM",C33)))</formula>
    </cfRule>
    <cfRule type="containsText" dxfId="555" priority="242" operator="containsText" text="ANIMAX">
      <formula>NOT(ISERROR(SEARCH("ANIMAX",C33)))</formula>
    </cfRule>
    <cfRule type="containsText" dxfId="554" priority="243" operator="containsText" text="AXN TW">
      <formula>NOT(ISERROR(SEARCH("AXN TW",C33)))</formula>
    </cfRule>
    <cfRule type="containsText" dxfId="553" priority="244" operator="containsText" text="AXN">
      <formula>NOT(ISERROR(SEARCH("AXN",C33)))</formula>
    </cfRule>
  </conditionalFormatting>
  <conditionalFormatting sqref="E33:E43">
    <cfRule type="containsText" dxfId="552" priority="237" stopIfTrue="1" operator="containsText" text="Master">
      <formula>NOT(ISERROR(SEARCH("Master",E33)))</formula>
    </cfRule>
    <cfRule type="containsText" dxfId="551" priority="238" stopIfTrue="1" operator="containsText" text="Freelance Audio">
      <formula>NOT(ISERROR(SEARCH("Freelance Audio",E33)))</formula>
    </cfRule>
    <cfRule type="containsText" dxfId="550" priority="239" stopIfTrue="1" operator="containsText" text="Audio">
      <formula>NOT(ISERROR(SEARCH("Audio",E33)))</formula>
    </cfRule>
  </conditionalFormatting>
  <conditionalFormatting sqref="J33:J43">
    <cfRule type="containsText" dxfId="549" priority="232" operator="containsText" text="ONE">
      <formula>NOT(ISERROR(SEARCH("ONE",J33)))</formula>
    </cfRule>
    <cfRule type="containsText" dxfId="548" priority="233" operator="containsText" text="GEM">
      <formula>NOT(ISERROR(SEARCH("GEM",J33)))</formula>
    </cfRule>
    <cfRule type="containsText" dxfId="547" priority="234" operator="containsText" text="ANIMAX">
      <formula>NOT(ISERROR(SEARCH("ANIMAX",J33)))</formula>
    </cfRule>
    <cfRule type="containsText" dxfId="546" priority="235" operator="containsText" text="AXN TW">
      <formula>NOT(ISERROR(SEARCH("AXN TW",J33)))</formula>
    </cfRule>
    <cfRule type="containsText" dxfId="545" priority="236" operator="containsText" text="AXN">
      <formula>NOT(ISERROR(SEARCH("AXN",J33)))</formula>
    </cfRule>
  </conditionalFormatting>
  <conditionalFormatting sqref="L33:L43">
    <cfRule type="containsText" dxfId="544" priority="229" stopIfTrue="1" operator="containsText" text="Master">
      <formula>NOT(ISERROR(SEARCH("Master",L33)))</formula>
    </cfRule>
    <cfRule type="containsText" dxfId="543" priority="230" stopIfTrue="1" operator="containsText" text="Freelance Audio">
      <formula>NOT(ISERROR(SEARCH("Freelance Audio",L33)))</formula>
    </cfRule>
    <cfRule type="containsText" dxfId="542" priority="231" stopIfTrue="1" operator="containsText" text="Audio">
      <formula>NOT(ISERROR(SEARCH("Audio",L33)))</formula>
    </cfRule>
  </conditionalFormatting>
  <conditionalFormatting sqref="Q33:Q43">
    <cfRule type="containsText" dxfId="541" priority="224" operator="containsText" text="ONE">
      <formula>NOT(ISERROR(SEARCH("ONE",Q33)))</formula>
    </cfRule>
    <cfRule type="containsText" dxfId="540" priority="225" operator="containsText" text="GEM">
      <formula>NOT(ISERROR(SEARCH("GEM",Q33)))</formula>
    </cfRule>
    <cfRule type="containsText" dxfId="539" priority="226" operator="containsText" text="ANIMAX">
      <formula>NOT(ISERROR(SEARCH("ANIMAX",Q33)))</formula>
    </cfRule>
    <cfRule type="containsText" dxfId="538" priority="227" operator="containsText" text="AXN TW">
      <formula>NOT(ISERROR(SEARCH("AXN TW",Q33)))</formula>
    </cfRule>
    <cfRule type="containsText" dxfId="537" priority="228" operator="containsText" text="AXN">
      <formula>NOT(ISERROR(SEARCH("AXN",Q33)))</formula>
    </cfRule>
  </conditionalFormatting>
  <conditionalFormatting sqref="S33:S43">
    <cfRule type="containsText" dxfId="536" priority="221" stopIfTrue="1" operator="containsText" text="Master">
      <formula>NOT(ISERROR(SEARCH("Master",S33)))</formula>
    </cfRule>
    <cfRule type="containsText" dxfId="535" priority="222" stopIfTrue="1" operator="containsText" text="Freelance Audio">
      <formula>NOT(ISERROR(SEARCH("Freelance Audio",S33)))</formula>
    </cfRule>
    <cfRule type="containsText" dxfId="534" priority="223" stopIfTrue="1" operator="containsText" text="Audio">
      <formula>NOT(ISERROR(SEARCH("Audio",S33)))</formula>
    </cfRule>
  </conditionalFormatting>
  <conditionalFormatting sqref="X33:X43">
    <cfRule type="containsText" dxfId="533" priority="216" operator="containsText" text="ONE">
      <formula>NOT(ISERROR(SEARCH("ONE",X33)))</formula>
    </cfRule>
    <cfRule type="containsText" dxfId="532" priority="217" operator="containsText" text="GEM">
      <formula>NOT(ISERROR(SEARCH("GEM",X33)))</formula>
    </cfRule>
    <cfRule type="containsText" dxfId="531" priority="218" operator="containsText" text="ANIMAX">
      <formula>NOT(ISERROR(SEARCH("ANIMAX",X33)))</formula>
    </cfRule>
    <cfRule type="containsText" dxfId="530" priority="219" operator="containsText" text="AXN TW">
      <formula>NOT(ISERROR(SEARCH("AXN TW",X33)))</formula>
    </cfRule>
    <cfRule type="containsText" dxfId="529" priority="220" operator="containsText" text="AXN">
      <formula>NOT(ISERROR(SEARCH("AXN",X33)))</formula>
    </cfRule>
  </conditionalFormatting>
  <conditionalFormatting sqref="Z33:Z43">
    <cfRule type="containsText" dxfId="528" priority="213" stopIfTrue="1" operator="containsText" text="Master">
      <formula>NOT(ISERROR(SEARCH("Master",Z33)))</formula>
    </cfRule>
    <cfRule type="containsText" dxfId="527" priority="214" stopIfTrue="1" operator="containsText" text="Freelance Audio">
      <formula>NOT(ISERROR(SEARCH("Freelance Audio",Z33)))</formula>
    </cfRule>
    <cfRule type="containsText" dxfId="526" priority="215" stopIfTrue="1" operator="containsText" text="Audio">
      <formula>NOT(ISERROR(SEARCH("Audio",Z33)))</formula>
    </cfRule>
  </conditionalFormatting>
  <conditionalFormatting sqref="AE33:AE43">
    <cfRule type="containsText" dxfId="525" priority="208" operator="containsText" text="ONE">
      <formula>NOT(ISERROR(SEARCH("ONE",AE33)))</formula>
    </cfRule>
    <cfRule type="containsText" dxfId="524" priority="209" operator="containsText" text="GEM">
      <formula>NOT(ISERROR(SEARCH("GEM",AE33)))</formula>
    </cfRule>
    <cfRule type="containsText" dxfId="523" priority="210" operator="containsText" text="ANIMAX">
      <formula>NOT(ISERROR(SEARCH("ANIMAX",AE33)))</formula>
    </cfRule>
    <cfRule type="containsText" dxfId="522" priority="211" operator="containsText" text="AXN TW">
      <formula>NOT(ISERROR(SEARCH("AXN TW",AE33)))</formula>
    </cfRule>
    <cfRule type="containsText" dxfId="521" priority="212" operator="containsText" text="AXN">
      <formula>NOT(ISERROR(SEARCH("AXN",AE33)))</formula>
    </cfRule>
  </conditionalFormatting>
  <conditionalFormatting sqref="AG33:AG43">
    <cfRule type="containsText" dxfId="520" priority="205" stopIfTrue="1" operator="containsText" text="Master">
      <formula>NOT(ISERROR(SEARCH("Master",AG33)))</formula>
    </cfRule>
    <cfRule type="containsText" dxfId="519" priority="206" stopIfTrue="1" operator="containsText" text="Freelance Audio">
      <formula>NOT(ISERROR(SEARCH("Freelance Audio",AG33)))</formula>
    </cfRule>
    <cfRule type="containsText" dxfId="518" priority="207" stopIfTrue="1" operator="containsText" text="Audio">
      <formula>NOT(ISERROR(SEARCH("Audio",AG33)))</formula>
    </cfRule>
  </conditionalFormatting>
  <conditionalFormatting sqref="C45:C55">
    <cfRule type="containsText" dxfId="517" priority="200" operator="containsText" text="ONE">
      <formula>NOT(ISERROR(SEARCH("ONE",C45)))</formula>
    </cfRule>
    <cfRule type="containsText" dxfId="516" priority="201" operator="containsText" text="GEM">
      <formula>NOT(ISERROR(SEARCH("GEM",C45)))</formula>
    </cfRule>
    <cfRule type="containsText" dxfId="515" priority="202" operator="containsText" text="ANIMAX">
      <formula>NOT(ISERROR(SEARCH("ANIMAX",C45)))</formula>
    </cfRule>
    <cfRule type="containsText" dxfId="514" priority="203" operator="containsText" text="AXN TW">
      <formula>NOT(ISERROR(SEARCH("AXN TW",C45)))</formula>
    </cfRule>
    <cfRule type="containsText" dxfId="513" priority="204" operator="containsText" text="AXN">
      <formula>NOT(ISERROR(SEARCH("AXN",C45)))</formula>
    </cfRule>
  </conditionalFormatting>
  <conditionalFormatting sqref="E45:E55">
    <cfRule type="containsText" dxfId="512" priority="197" stopIfTrue="1" operator="containsText" text="Master">
      <formula>NOT(ISERROR(SEARCH("Master",E45)))</formula>
    </cfRule>
    <cfRule type="containsText" dxfId="511" priority="198" stopIfTrue="1" operator="containsText" text="Freelance Audio">
      <formula>NOT(ISERROR(SEARCH("Freelance Audio",E45)))</formula>
    </cfRule>
    <cfRule type="containsText" dxfId="510" priority="199" stopIfTrue="1" operator="containsText" text="Audio">
      <formula>NOT(ISERROR(SEARCH("Audio",E45)))</formula>
    </cfRule>
  </conditionalFormatting>
  <conditionalFormatting sqref="J45:J55">
    <cfRule type="containsText" dxfId="509" priority="192" operator="containsText" text="ONE">
      <formula>NOT(ISERROR(SEARCH("ONE",J45)))</formula>
    </cfRule>
    <cfRule type="containsText" dxfId="508" priority="193" operator="containsText" text="GEM">
      <formula>NOT(ISERROR(SEARCH("GEM",J45)))</formula>
    </cfRule>
    <cfRule type="containsText" dxfId="507" priority="194" operator="containsText" text="ANIMAX">
      <formula>NOT(ISERROR(SEARCH("ANIMAX",J45)))</formula>
    </cfRule>
    <cfRule type="containsText" dxfId="506" priority="195" operator="containsText" text="AXN TW">
      <formula>NOT(ISERROR(SEARCH("AXN TW",J45)))</formula>
    </cfRule>
    <cfRule type="containsText" dxfId="505" priority="196" operator="containsText" text="AXN">
      <formula>NOT(ISERROR(SEARCH("AXN",J45)))</formula>
    </cfRule>
  </conditionalFormatting>
  <conditionalFormatting sqref="L45:L55">
    <cfRule type="containsText" dxfId="504" priority="189" stopIfTrue="1" operator="containsText" text="Master">
      <formula>NOT(ISERROR(SEARCH("Master",L45)))</formula>
    </cfRule>
    <cfRule type="containsText" dxfId="503" priority="190" stopIfTrue="1" operator="containsText" text="Freelance Audio">
      <formula>NOT(ISERROR(SEARCH("Freelance Audio",L45)))</formula>
    </cfRule>
    <cfRule type="containsText" dxfId="502" priority="191" stopIfTrue="1" operator="containsText" text="Audio">
      <formula>NOT(ISERROR(SEARCH("Audio",L45)))</formula>
    </cfRule>
  </conditionalFormatting>
  <conditionalFormatting sqref="Q45:Q55">
    <cfRule type="containsText" dxfId="501" priority="184" operator="containsText" text="ONE">
      <formula>NOT(ISERROR(SEARCH("ONE",Q45)))</formula>
    </cfRule>
    <cfRule type="containsText" dxfId="500" priority="185" operator="containsText" text="GEM">
      <formula>NOT(ISERROR(SEARCH("GEM",Q45)))</formula>
    </cfRule>
    <cfRule type="containsText" dxfId="499" priority="186" operator="containsText" text="ANIMAX">
      <formula>NOT(ISERROR(SEARCH("ANIMAX",Q45)))</formula>
    </cfRule>
    <cfRule type="containsText" dxfId="498" priority="187" operator="containsText" text="AXN TW">
      <formula>NOT(ISERROR(SEARCH("AXN TW",Q45)))</formula>
    </cfRule>
    <cfRule type="containsText" dxfId="497" priority="188" operator="containsText" text="AXN">
      <formula>NOT(ISERROR(SEARCH("AXN",Q45)))</formula>
    </cfRule>
  </conditionalFormatting>
  <conditionalFormatting sqref="S45:S55">
    <cfRule type="containsText" dxfId="496" priority="181" stopIfTrue="1" operator="containsText" text="Master">
      <formula>NOT(ISERROR(SEARCH("Master",S45)))</formula>
    </cfRule>
    <cfRule type="containsText" dxfId="495" priority="182" stopIfTrue="1" operator="containsText" text="Freelance Audio">
      <formula>NOT(ISERROR(SEARCH("Freelance Audio",S45)))</formula>
    </cfRule>
    <cfRule type="containsText" dxfId="494" priority="183" stopIfTrue="1" operator="containsText" text="Audio">
      <formula>NOT(ISERROR(SEARCH("Audio",S45)))</formula>
    </cfRule>
  </conditionalFormatting>
  <conditionalFormatting sqref="X45:X55">
    <cfRule type="containsText" dxfId="493" priority="176" operator="containsText" text="ONE">
      <formula>NOT(ISERROR(SEARCH("ONE",X45)))</formula>
    </cfRule>
    <cfRule type="containsText" dxfId="492" priority="177" operator="containsText" text="GEM">
      <formula>NOT(ISERROR(SEARCH("GEM",X45)))</formula>
    </cfRule>
    <cfRule type="containsText" dxfId="491" priority="178" operator="containsText" text="ANIMAX">
      <formula>NOT(ISERROR(SEARCH("ANIMAX",X45)))</formula>
    </cfRule>
    <cfRule type="containsText" dxfId="490" priority="179" operator="containsText" text="AXN TW">
      <formula>NOT(ISERROR(SEARCH("AXN TW",X45)))</formula>
    </cfRule>
    <cfRule type="containsText" dxfId="489" priority="180" operator="containsText" text="AXN">
      <formula>NOT(ISERROR(SEARCH("AXN",X45)))</formula>
    </cfRule>
  </conditionalFormatting>
  <conditionalFormatting sqref="Z45:Z55">
    <cfRule type="containsText" dxfId="488" priority="173" stopIfTrue="1" operator="containsText" text="Master">
      <formula>NOT(ISERROR(SEARCH("Master",Z45)))</formula>
    </cfRule>
    <cfRule type="containsText" dxfId="487" priority="174" stopIfTrue="1" operator="containsText" text="Freelance Audio">
      <formula>NOT(ISERROR(SEARCH("Freelance Audio",Z45)))</formula>
    </cfRule>
    <cfRule type="containsText" dxfId="486" priority="175" stopIfTrue="1" operator="containsText" text="Audio">
      <formula>NOT(ISERROR(SEARCH("Audio",Z45)))</formula>
    </cfRule>
  </conditionalFormatting>
  <conditionalFormatting sqref="AE45:AE55">
    <cfRule type="containsText" dxfId="485" priority="168" operator="containsText" text="ONE">
      <formula>NOT(ISERROR(SEARCH("ONE",AE45)))</formula>
    </cfRule>
    <cfRule type="containsText" dxfId="484" priority="169" operator="containsText" text="GEM">
      <formula>NOT(ISERROR(SEARCH("GEM",AE45)))</formula>
    </cfRule>
    <cfRule type="containsText" dxfId="483" priority="170" operator="containsText" text="ANIMAX">
      <formula>NOT(ISERROR(SEARCH("ANIMAX",AE45)))</formula>
    </cfRule>
    <cfRule type="containsText" dxfId="482" priority="171" operator="containsText" text="AXN TW">
      <formula>NOT(ISERROR(SEARCH("AXN TW",AE45)))</formula>
    </cfRule>
    <cfRule type="containsText" dxfId="481" priority="172" operator="containsText" text="AXN">
      <formula>NOT(ISERROR(SEARCH("AXN",AE45)))</formula>
    </cfRule>
  </conditionalFormatting>
  <conditionalFormatting sqref="AG45:AG55">
    <cfRule type="containsText" dxfId="480" priority="165" stopIfTrue="1" operator="containsText" text="Master">
      <formula>NOT(ISERROR(SEARCH("Master",AG45)))</formula>
    </cfRule>
    <cfRule type="containsText" dxfId="479" priority="166" stopIfTrue="1" operator="containsText" text="Freelance Audio">
      <formula>NOT(ISERROR(SEARCH("Freelance Audio",AG45)))</formula>
    </cfRule>
    <cfRule type="containsText" dxfId="478" priority="167" stopIfTrue="1" operator="containsText" text="Audio">
      <formula>NOT(ISERROR(SEARCH("Audio",AG45)))</formula>
    </cfRule>
  </conditionalFormatting>
  <conditionalFormatting sqref="C57:C67">
    <cfRule type="containsText" dxfId="477" priority="160" operator="containsText" text="ONE">
      <formula>NOT(ISERROR(SEARCH("ONE",C57)))</formula>
    </cfRule>
    <cfRule type="containsText" dxfId="476" priority="161" operator="containsText" text="GEM">
      <formula>NOT(ISERROR(SEARCH("GEM",C57)))</formula>
    </cfRule>
    <cfRule type="containsText" dxfId="475" priority="162" operator="containsText" text="ANIMAX">
      <formula>NOT(ISERROR(SEARCH("ANIMAX",C57)))</formula>
    </cfRule>
    <cfRule type="containsText" dxfId="474" priority="163" operator="containsText" text="AXN TW">
      <formula>NOT(ISERROR(SEARCH("AXN TW",C57)))</formula>
    </cfRule>
    <cfRule type="containsText" dxfId="473" priority="164" operator="containsText" text="AXN">
      <formula>NOT(ISERROR(SEARCH("AXN",C57)))</formula>
    </cfRule>
  </conditionalFormatting>
  <conditionalFormatting sqref="E57:E67">
    <cfRule type="containsText" dxfId="472" priority="157" stopIfTrue="1" operator="containsText" text="Master">
      <formula>NOT(ISERROR(SEARCH("Master",E57)))</formula>
    </cfRule>
    <cfRule type="containsText" dxfId="471" priority="158" stopIfTrue="1" operator="containsText" text="Freelance Audio">
      <formula>NOT(ISERROR(SEARCH("Freelance Audio",E57)))</formula>
    </cfRule>
    <cfRule type="containsText" dxfId="470" priority="159" stopIfTrue="1" operator="containsText" text="Audio">
      <formula>NOT(ISERROR(SEARCH("Audio",E57)))</formula>
    </cfRule>
  </conditionalFormatting>
  <conditionalFormatting sqref="J57:J67">
    <cfRule type="containsText" dxfId="469" priority="152" operator="containsText" text="ONE">
      <formula>NOT(ISERROR(SEARCH("ONE",J57)))</formula>
    </cfRule>
    <cfRule type="containsText" dxfId="468" priority="153" operator="containsText" text="GEM">
      <formula>NOT(ISERROR(SEARCH("GEM",J57)))</formula>
    </cfRule>
    <cfRule type="containsText" dxfId="467" priority="154" operator="containsText" text="ANIMAX">
      <formula>NOT(ISERROR(SEARCH("ANIMAX",J57)))</formula>
    </cfRule>
    <cfRule type="containsText" dxfId="466" priority="155" operator="containsText" text="AXN TW">
      <formula>NOT(ISERROR(SEARCH("AXN TW",J57)))</formula>
    </cfRule>
    <cfRule type="containsText" dxfId="465" priority="156" operator="containsText" text="AXN">
      <formula>NOT(ISERROR(SEARCH("AXN",J57)))</formula>
    </cfRule>
  </conditionalFormatting>
  <conditionalFormatting sqref="L57:L67">
    <cfRule type="containsText" dxfId="464" priority="149" stopIfTrue="1" operator="containsText" text="Master">
      <formula>NOT(ISERROR(SEARCH("Master",L57)))</formula>
    </cfRule>
    <cfRule type="containsText" dxfId="463" priority="150" stopIfTrue="1" operator="containsText" text="Freelance Audio">
      <formula>NOT(ISERROR(SEARCH("Freelance Audio",L57)))</formula>
    </cfRule>
    <cfRule type="containsText" dxfId="462" priority="151" stopIfTrue="1" operator="containsText" text="Audio">
      <formula>NOT(ISERROR(SEARCH("Audio",L57)))</formula>
    </cfRule>
  </conditionalFormatting>
  <conditionalFormatting sqref="Q57:Q67">
    <cfRule type="containsText" dxfId="461" priority="144" operator="containsText" text="ONE">
      <formula>NOT(ISERROR(SEARCH("ONE",Q57)))</formula>
    </cfRule>
    <cfRule type="containsText" dxfId="460" priority="145" operator="containsText" text="GEM">
      <formula>NOT(ISERROR(SEARCH("GEM",Q57)))</formula>
    </cfRule>
    <cfRule type="containsText" dxfId="459" priority="146" operator="containsText" text="ANIMAX">
      <formula>NOT(ISERROR(SEARCH("ANIMAX",Q57)))</formula>
    </cfRule>
    <cfRule type="containsText" dxfId="458" priority="147" operator="containsText" text="AXN TW">
      <formula>NOT(ISERROR(SEARCH("AXN TW",Q57)))</formula>
    </cfRule>
    <cfRule type="containsText" dxfId="457" priority="148" operator="containsText" text="AXN">
      <formula>NOT(ISERROR(SEARCH("AXN",Q57)))</formula>
    </cfRule>
  </conditionalFormatting>
  <conditionalFormatting sqref="S57:S67">
    <cfRule type="containsText" dxfId="456" priority="141" stopIfTrue="1" operator="containsText" text="Master">
      <formula>NOT(ISERROR(SEARCH("Master",S57)))</formula>
    </cfRule>
    <cfRule type="containsText" dxfId="455" priority="142" stopIfTrue="1" operator="containsText" text="Freelance Audio">
      <formula>NOT(ISERROR(SEARCH("Freelance Audio",S57)))</formula>
    </cfRule>
    <cfRule type="containsText" dxfId="454" priority="143" stopIfTrue="1" operator="containsText" text="Audio">
      <formula>NOT(ISERROR(SEARCH("Audio",S57)))</formula>
    </cfRule>
  </conditionalFormatting>
  <conditionalFormatting sqref="X57:X67">
    <cfRule type="containsText" dxfId="453" priority="136" operator="containsText" text="ONE">
      <formula>NOT(ISERROR(SEARCH("ONE",X57)))</formula>
    </cfRule>
    <cfRule type="containsText" dxfId="452" priority="137" operator="containsText" text="GEM">
      <formula>NOT(ISERROR(SEARCH("GEM",X57)))</formula>
    </cfRule>
    <cfRule type="containsText" dxfId="451" priority="138" operator="containsText" text="ANIMAX">
      <formula>NOT(ISERROR(SEARCH("ANIMAX",X57)))</formula>
    </cfRule>
    <cfRule type="containsText" dxfId="450" priority="139" operator="containsText" text="AXN TW">
      <formula>NOT(ISERROR(SEARCH("AXN TW",X57)))</formula>
    </cfRule>
    <cfRule type="containsText" dxfId="449" priority="140" operator="containsText" text="AXN">
      <formula>NOT(ISERROR(SEARCH("AXN",X57)))</formula>
    </cfRule>
  </conditionalFormatting>
  <conditionalFormatting sqref="Z57:Z67">
    <cfRule type="containsText" dxfId="448" priority="133" stopIfTrue="1" operator="containsText" text="Master">
      <formula>NOT(ISERROR(SEARCH("Master",Z57)))</formula>
    </cfRule>
    <cfRule type="containsText" dxfId="447" priority="134" stopIfTrue="1" operator="containsText" text="Freelance Audio">
      <formula>NOT(ISERROR(SEARCH("Freelance Audio",Z57)))</formula>
    </cfRule>
    <cfRule type="containsText" dxfId="446" priority="135" stopIfTrue="1" operator="containsText" text="Audio">
      <formula>NOT(ISERROR(SEARCH("Audio",Z57)))</formula>
    </cfRule>
  </conditionalFormatting>
  <conditionalFormatting sqref="AE57:AE67">
    <cfRule type="containsText" dxfId="445" priority="128" operator="containsText" text="ONE">
      <formula>NOT(ISERROR(SEARCH("ONE",AE57)))</formula>
    </cfRule>
    <cfRule type="containsText" dxfId="444" priority="129" operator="containsText" text="GEM">
      <formula>NOT(ISERROR(SEARCH("GEM",AE57)))</formula>
    </cfRule>
    <cfRule type="containsText" dxfId="443" priority="130" operator="containsText" text="ANIMAX">
      <formula>NOT(ISERROR(SEARCH("ANIMAX",AE57)))</formula>
    </cfRule>
    <cfRule type="containsText" dxfId="442" priority="131" operator="containsText" text="AXN TW">
      <formula>NOT(ISERROR(SEARCH("AXN TW",AE57)))</formula>
    </cfRule>
    <cfRule type="containsText" dxfId="441" priority="132" operator="containsText" text="AXN">
      <formula>NOT(ISERROR(SEARCH("AXN",AE57)))</formula>
    </cfRule>
  </conditionalFormatting>
  <conditionalFormatting sqref="AG57:AG67">
    <cfRule type="containsText" dxfId="440" priority="125" stopIfTrue="1" operator="containsText" text="Master">
      <formula>NOT(ISERROR(SEARCH("Master",AG57)))</formula>
    </cfRule>
    <cfRule type="containsText" dxfId="439" priority="126" stopIfTrue="1" operator="containsText" text="Freelance Audio">
      <formula>NOT(ISERROR(SEARCH("Freelance Audio",AG57)))</formula>
    </cfRule>
    <cfRule type="containsText" dxfId="438" priority="127" stopIfTrue="1" operator="containsText" text="Audio">
      <formula>NOT(ISERROR(SEARCH("Audio",AG57)))</formula>
    </cfRule>
  </conditionalFormatting>
  <conditionalFormatting sqref="C69:C79">
    <cfRule type="containsText" dxfId="437" priority="120" operator="containsText" text="ONE">
      <formula>NOT(ISERROR(SEARCH("ONE",C69)))</formula>
    </cfRule>
    <cfRule type="containsText" dxfId="436" priority="121" operator="containsText" text="GEM">
      <formula>NOT(ISERROR(SEARCH("GEM",C69)))</formula>
    </cfRule>
    <cfRule type="containsText" dxfId="435" priority="122" operator="containsText" text="ANIMAX">
      <formula>NOT(ISERROR(SEARCH("ANIMAX",C69)))</formula>
    </cfRule>
    <cfRule type="containsText" dxfId="434" priority="123" operator="containsText" text="AXN TW">
      <formula>NOT(ISERROR(SEARCH("AXN TW",C69)))</formula>
    </cfRule>
    <cfRule type="containsText" dxfId="433" priority="124" operator="containsText" text="AXN">
      <formula>NOT(ISERROR(SEARCH("AXN",C69)))</formula>
    </cfRule>
  </conditionalFormatting>
  <conditionalFormatting sqref="E69:E79">
    <cfRule type="containsText" dxfId="432" priority="117" stopIfTrue="1" operator="containsText" text="Master">
      <formula>NOT(ISERROR(SEARCH("Master",E69)))</formula>
    </cfRule>
    <cfRule type="containsText" dxfId="431" priority="118" stopIfTrue="1" operator="containsText" text="Freelance Audio">
      <formula>NOT(ISERROR(SEARCH("Freelance Audio",E69)))</formula>
    </cfRule>
    <cfRule type="containsText" dxfId="430" priority="119" stopIfTrue="1" operator="containsText" text="Audio">
      <formula>NOT(ISERROR(SEARCH("Audio",E69)))</formula>
    </cfRule>
  </conditionalFormatting>
  <conditionalFormatting sqref="J69:J79">
    <cfRule type="containsText" dxfId="429" priority="112" operator="containsText" text="ONE">
      <formula>NOT(ISERROR(SEARCH("ONE",J69)))</formula>
    </cfRule>
    <cfRule type="containsText" dxfId="428" priority="113" operator="containsText" text="GEM">
      <formula>NOT(ISERROR(SEARCH("GEM",J69)))</formula>
    </cfRule>
    <cfRule type="containsText" dxfId="427" priority="114" operator="containsText" text="ANIMAX">
      <formula>NOT(ISERROR(SEARCH("ANIMAX",J69)))</formula>
    </cfRule>
    <cfRule type="containsText" dxfId="426" priority="115" operator="containsText" text="AXN TW">
      <formula>NOT(ISERROR(SEARCH("AXN TW",J69)))</formula>
    </cfRule>
    <cfRule type="containsText" dxfId="425" priority="116" operator="containsText" text="AXN">
      <formula>NOT(ISERROR(SEARCH("AXN",J69)))</formula>
    </cfRule>
  </conditionalFormatting>
  <conditionalFormatting sqref="L69:L79">
    <cfRule type="containsText" dxfId="424" priority="109" stopIfTrue="1" operator="containsText" text="Master">
      <formula>NOT(ISERROR(SEARCH("Master",L69)))</formula>
    </cfRule>
    <cfRule type="containsText" dxfId="423" priority="110" stopIfTrue="1" operator="containsText" text="Freelance Audio">
      <formula>NOT(ISERROR(SEARCH("Freelance Audio",L69)))</formula>
    </cfRule>
    <cfRule type="containsText" dxfId="422" priority="111" stopIfTrue="1" operator="containsText" text="Audio">
      <formula>NOT(ISERROR(SEARCH("Audio",L69)))</formula>
    </cfRule>
  </conditionalFormatting>
  <conditionalFormatting sqref="Q69:Q79">
    <cfRule type="containsText" dxfId="421" priority="104" operator="containsText" text="ONE">
      <formula>NOT(ISERROR(SEARCH("ONE",Q69)))</formula>
    </cfRule>
    <cfRule type="containsText" dxfId="420" priority="105" operator="containsText" text="GEM">
      <formula>NOT(ISERROR(SEARCH("GEM",Q69)))</formula>
    </cfRule>
    <cfRule type="containsText" dxfId="419" priority="106" operator="containsText" text="ANIMAX">
      <formula>NOT(ISERROR(SEARCH("ANIMAX",Q69)))</formula>
    </cfRule>
    <cfRule type="containsText" dxfId="418" priority="107" operator="containsText" text="AXN TW">
      <formula>NOT(ISERROR(SEARCH("AXN TW",Q69)))</formula>
    </cfRule>
    <cfRule type="containsText" dxfId="417" priority="108" operator="containsText" text="AXN">
      <formula>NOT(ISERROR(SEARCH("AXN",Q69)))</formula>
    </cfRule>
  </conditionalFormatting>
  <conditionalFormatting sqref="S69:S79">
    <cfRule type="containsText" dxfId="416" priority="101" stopIfTrue="1" operator="containsText" text="Master">
      <formula>NOT(ISERROR(SEARCH("Master",S69)))</formula>
    </cfRule>
    <cfRule type="containsText" dxfId="415" priority="102" stopIfTrue="1" operator="containsText" text="Freelance Audio">
      <formula>NOT(ISERROR(SEARCH("Freelance Audio",S69)))</formula>
    </cfRule>
    <cfRule type="containsText" dxfId="414" priority="103" stopIfTrue="1" operator="containsText" text="Audio">
      <formula>NOT(ISERROR(SEARCH("Audio",S69)))</formula>
    </cfRule>
  </conditionalFormatting>
  <conditionalFormatting sqref="X69:X79">
    <cfRule type="containsText" dxfId="413" priority="96" operator="containsText" text="ONE">
      <formula>NOT(ISERROR(SEARCH("ONE",X69)))</formula>
    </cfRule>
    <cfRule type="containsText" dxfId="412" priority="97" operator="containsText" text="GEM">
      <formula>NOT(ISERROR(SEARCH("GEM",X69)))</formula>
    </cfRule>
    <cfRule type="containsText" dxfId="411" priority="98" operator="containsText" text="ANIMAX">
      <formula>NOT(ISERROR(SEARCH("ANIMAX",X69)))</formula>
    </cfRule>
    <cfRule type="containsText" dxfId="410" priority="99" operator="containsText" text="AXN TW">
      <formula>NOT(ISERROR(SEARCH("AXN TW",X69)))</formula>
    </cfRule>
    <cfRule type="containsText" dxfId="409" priority="100" operator="containsText" text="AXN">
      <formula>NOT(ISERROR(SEARCH("AXN",X69)))</formula>
    </cfRule>
  </conditionalFormatting>
  <conditionalFormatting sqref="Z69:Z79">
    <cfRule type="containsText" dxfId="408" priority="93" stopIfTrue="1" operator="containsText" text="Master">
      <formula>NOT(ISERROR(SEARCH("Master",Z69)))</formula>
    </cfRule>
    <cfRule type="containsText" dxfId="407" priority="94" stopIfTrue="1" operator="containsText" text="Freelance Audio">
      <formula>NOT(ISERROR(SEARCH("Freelance Audio",Z69)))</formula>
    </cfRule>
    <cfRule type="containsText" dxfId="406" priority="95" stopIfTrue="1" operator="containsText" text="Audio">
      <formula>NOT(ISERROR(SEARCH("Audio",Z69)))</formula>
    </cfRule>
  </conditionalFormatting>
  <conditionalFormatting sqref="AE69:AE79">
    <cfRule type="containsText" dxfId="405" priority="88" operator="containsText" text="ONE">
      <formula>NOT(ISERROR(SEARCH("ONE",AE69)))</formula>
    </cfRule>
    <cfRule type="containsText" dxfId="404" priority="89" operator="containsText" text="GEM">
      <formula>NOT(ISERROR(SEARCH("GEM",AE69)))</formula>
    </cfRule>
    <cfRule type="containsText" dxfId="403" priority="90" operator="containsText" text="ANIMAX">
      <formula>NOT(ISERROR(SEARCH("ANIMAX",AE69)))</formula>
    </cfRule>
    <cfRule type="containsText" dxfId="402" priority="91" operator="containsText" text="AXN TW">
      <formula>NOT(ISERROR(SEARCH("AXN TW",AE69)))</formula>
    </cfRule>
    <cfRule type="containsText" dxfId="401" priority="92" operator="containsText" text="AXN">
      <formula>NOT(ISERROR(SEARCH("AXN",AE69)))</formula>
    </cfRule>
  </conditionalFormatting>
  <conditionalFormatting sqref="AG69:AG79">
    <cfRule type="containsText" dxfId="400" priority="85" stopIfTrue="1" operator="containsText" text="Master">
      <formula>NOT(ISERROR(SEARCH("Master",AG69)))</formula>
    </cfRule>
    <cfRule type="containsText" dxfId="399" priority="86" stopIfTrue="1" operator="containsText" text="Freelance Audio">
      <formula>NOT(ISERROR(SEARCH("Freelance Audio",AG69)))</formula>
    </cfRule>
    <cfRule type="containsText" dxfId="398" priority="87" stopIfTrue="1" operator="containsText" text="Audio">
      <formula>NOT(ISERROR(SEARCH("Audio",AG69)))</formula>
    </cfRule>
  </conditionalFormatting>
  <conditionalFormatting sqref="H20 H32 H44 H56 H68 O68 O56 O44 O32 O20 O8 V8 V20 V32 V44 V56 V68 AC68 AC56 AC44 AC32 AC20 AC8 AJ8 AJ20 AJ32 AJ44 AJ56 AJ68">
    <cfRule type="expression" dxfId="397" priority="1">
      <formula>MONTH(H8)&lt;&gt;$AN$5</formula>
    </cfRule>
  </conditionalFormatting>
  <conditionalFormatting sqref="H8">
    <cfRule type="expression" dxfId="396" priority="62">
      <formula>MONTH(H8)&lt;&gt;$AN$5</formula>
    </cfRule>
  </conditionalFormatting>
  <conditionalFormatting sqref="B9:H19 B8">
    <cfRule type="expression" dxfId="395" priority="29">
      <formula>MONTH($H$8)&lt;&gt;$AN$5</formula>
    </cfRule>
  </conditionalFormatting>
  <conditionalFormatting sqref="I9:O19 I8">
    <cfRule type="expression" dxfId="394" priority="30">
      <formula>MONTH($O$8)&lt;&gt;$AN$5</formula>
    </cfRule>
  </conditionalFormatting>
  <conditionalFormatting sqref="P9:V19 P8">
    <cfRule type="expression" dxfId="393" priority="28">
      <formula>MONTH($V$8)&lt;&gt;$AN$5</formula>
    </cfRule>
  </conditionalFormatting>
  <conditionalFormatting sqref="AD9:AJ19 AD8">
    <cfRule type="expression" dxfId="392" priority="26">
      <formula>MONTH($AJ$8)&lt;&gt;$AN$5</formula>
    </cfRule>
  </conditionalFormatting>
  <conditionalFormatting sqref="W9:AC19 W8">
    <cfRule type="expression" dxfId="391" priority="27">
      <formula>MONTH($AC$8)&lt;&gt;$AN$5</formula>
    </cfRule>
  </conditionalFormatting>
  <conditionalFormatting sqref="AD69:AJ79 AD68">
    <cfRule type="expression" dxfId="390" priority="6">
      <formula>MONTH($AJ$68)&lt;&gt;$AN$5</formula>
    </cfRule>
  </conditionalFormatting>
  <conditionalFormatting sqref="W69:AC79 W68">
    <cfRule type="expression" dxfId="389" priority="5">
      <formula>MONTH($AC$68)&lt;&gt;$AN$5</formula>
    </cfRule>
  </conditionalFormatting>
  <conditionalFormatting sqref="P69:V79 P68">
    <cfRule type="expression" dxfId="388" priority="4">
      <formula>MONTH($V$68)&lt;&gt;$AN$5</formula>
    </cfRule>
  </conditionalFormatting>
  <conditionalFormatting sqref="I69:O79 I68">
    <cfRule type="expression" dxfId="387" priority="3">
      <formula>MONTH($O$68)&lt;&gt;$AN$5</formula>
    </cfRule>
  </conditionalFormatting>
  <conditionalFormatting sqref="B69:H79 B68">
    <cfRule type="expression" dxfId="386" priority="2">
      <formula>MONTH($H$68)&lt;&gt;$AN$5</formula>
    </cfRule>
  </conditionalFormatting>
  <conditionalFormatting sqref="AD57:AJ67 AD56">
    <cfRule type="expression" dxfId="385" priority="7">
      <formula>MONTH($AJ$56)&lt;&gt;$AN$5</formula>
    </cfRule>
  </conditionalFormatting>
  <conditionalFormatting sqref="W57:AC67 W56">
    <cfRule type="expression" dxfId="384" priority="8">
      <formula>MONTH($AC$56)&lt;&gt;$AN$5</formula>
    </cfRule>
  </conditionalFormatting>
  <conditionalFormatting sqref="P57:V67 P56">
    <cfRule type="expression" dxfId="383" priority="9">
      <formula>MONTH($V$56)&lt;&gt;$AN$5</formula>
    </cfRule>
  </conditionalFormatting>
  <conditionalFormatting sqref="I57:O67 I56">
    <cfRule type="expression" dxfId="382" priority="10">
      <formula>MONTH($O$56)&lt;&gt;$AN$5</formula>
    </cfRule>
  </conditionalFormatting>
  <conditionalFormatting sqref="B57:H67 B56">
    <cfRule type="expression" dxfId="381" priority="11">
      <formula>MONTH($H$56)&lt;&gt;$AN$5</formula>
    </cfRule>
  </conditionalFormatting>
  <conditionalFormatting sqref="B21:H31 B20">
    <cfRule type="expression" dxfId="380" priority="31">
      <formula>MONTH($H$20)&lt;&gt;$AN$5</formula>
    </cfRule>
  </conditionalFormatting>
  <dataValidations count="5">
    <dataValidation type="list" allowBlank="1" showInputMessage="1" showErrorMessage="1" sqref="B9:B19 I9:I19 P9:P19 W9:W19 AD9:AD19 B21:B31 I21:I31 P21:P31 W21:W31 AD21:AD31 B33:B43 I33:I43 P33:P43 W33:W43 AD33:AD43 B45:B55 I45:I55 P45:P55 W45:W55 B57:B67 I57:I67 P57:P67 W57:W67 AD57:AD67 B69:B79 I69:I79 P69:P79 W69:W79 AD69:AD79 AD45 AD47:AD55" xr:uid="{BB955AF2-18D8-8345-B7BD-629EAF90208C}">
      <formula1>"DANIEL,JESSIE,NATASHA,SUSAN,WAYNE,DOROTHY,MARIA,CATH,FREELANCER"</formula1>
    </dataValidation>
    <dataValidation type="list" allowBlank="1" showInputMessage="1" showErrorMessage="1" sqref="C9:C19 J9:J19 Q9:Q19 X9:X19 AE9:AE19 C21:C31 J21:J31 Q21:Q31 X21:X31 AE21:AE31 C33:C43 J33:J43 Q33:Q43 X33:X43 AE33:AE43 C45:C55 J45:J55 Q45:Q55 X45:X55 AE45:AE55 C57:C67 J57:J67 Q57:Q67 X57:X67 AE57:AE67 C69:C79 J69:J79 Q69:Q79 X69:X79 AE69:AE79" xr:uid="{35B692D8-CEDA-C042-BA72-CA3867B10805}">
      <formula1>"ANIMAX,AXN,AXN TW,GEM,ONE"</formula1>
    </dataValidation>
    <dataValidation type="list" allowBlank="1" showInputMessage="1" showErrorMessage="1" sqref="E9:E19 L9:L19 S9:S19 Z9:Z19 AG9:AG19 E21:E31 L21:L31 S21:S31 Z21:Z31 AG21:AG31 E33:E43 L33:L43 S33:S43 Z33:Z43 AG33:AG43 E45:E55 L45:L55 S45:S55 Z45:Z55 AG45:AG55 E57:E67 L57:L67 S57:S67 Z57:Z67 AG57:AG67 E69:E79 L69:L79 S69:S79 Z69:Z79 AG69:AG79" xr:uid="{14F43577-CD2F-604D-8177-59B77C69086E}">
      <formula1>"Audio,Freelance Audio,Master"</formula1>
    </dataValidation>
    <dataValidation type="list" allowBlank="1" showInputMessage="1" showErrorMessage="1" sqref="F9:F19 M9:M19 T9:T19 AA9:AA19 AH9:AH19 F21:F31 M21:M31 T21:T31 AA21:AA31 AH21:AH31 F33:F43 M33:M43 T33:T43 AA33:AA43 AH33:AH43 F45:F55 M45:M55 T45:T55 AA45:AA55 AH45:AH55 F57:F67 M57:M67 T57:T67 AA57:AA67 AH57:AH67 F69:F79 M69:M79 T69:T79 AA69:AA79 AH69:AH79" xr:uid="{A766DD0D-8F67-F343-ABEB-BFAA6E3F2ED3}">
      <formula1>"AM, PM"</formula1>
    </dataValidation>
    <dataValidation type="list" allowBlank="1" showInputMessage="1" showErrorMessage="1" sqref="G9:G19 N9:N19 U9:U19 AB9:AB19 AI9:AI19 G21:G31 N21:N31 U21:U31 AB21:AB31 AI21:AI31 G33:G43 N33:N43 U33:U43 AB33:AB43 AI33:AI43 G45:G55 N45:N55 U45:U55 AB45:AB55 AI45:AI55 G57:G67 N57:N67 U57:U67 AB57:AB67 AI57:AI67 G69:G79 N69:N79 U69:U79 AB69:AB79 AI69:AI79" xr:uid="{DDF55BC5-C7C0-904E-A0B5-2F42D9C6CE78}">
      <formula1>"0.5,1,1.5,2,2.5,3,3.5,4,4.5,5,5.5,6,6.5,7,7.5,8"</formula1>
    </dataValidation>
  </dataValidations>
  <pageMargins left="0.7" right="0.7" top="0.75" bottom="0.75" header="0.3" footer="0.3"/>
  <pageSetup paperSize="9" scale="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5" r:id="rId4" name="Spinner 41">
              <controlPr locked="0" defaultSize="0" print="0" autoPict="0" altText="YEAR">
                <anchor moveWithCells="1" sizeWithCells="1">
                  <from>
                    <xdr:col>40</xdr:col>
                    <xdr:colOff>0</xdr:colOff>
                    <xdr:row>0</xdr:row>
                    <xdr:rowOff>571500</xdr:rowOff>
                  </from>
                  <to>
                    <xdr:col>41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" name="Spinner 42">
              <controlPr locked="0" defaultSize="0" print="0" autoPict="0">
                <anchor moveWithCells="1" sizeWithCells="1">
                  <from>
                    <xdr:col>39</xdr:col>
                    <xdr:colOff>904875</xdr:colOff>
                    <xdr:row>4</xdr:row>
                    <xdr:rowOff>0</xdr:rowOff>
                  </from>
                  <to>
                    <xdr:col>40</xdr:col>
                    <xdr:colOff>457200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6" name="Button 43">
              <controlPr locked="0" defaultSize="0" print="0" autoFill="0" autoPict="0" macro="[0]!GenerateBookingSheet" altText="GENERATE">
                <anchor moveWithCells="1" sizeWithCells="1">
                  <from>
                    <xdr:col>41</xdr:col>
                    <xdr:colOff>419100</xdr:colOff>
                    <xdr:row>1</xdr:row>
                    <xdr:rowOff>9525</xdr:rowOff>
                  </from>
                  <to>
                    <xdr:col>46</xdr:col>
                    <xdr:colOff>342900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0" id="{295BE487-D9B5-4E0F-A863-D8DCA03304EA}">
            <xm:f>MATCH($H$8,HOLIDAYS!$B$2:$B$22,0)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B9:H19</xm:sqref>
        </x14:conditionalFormatting>
        <x14:conditionalFormatting xmlns:xm="http://schemas.microsoft.com/office/excel/2006/main">
          <x14:cfRule type="expression" priority="79" id="{6DD6F0EF-8969-4A3F-B70C-BEA4C155095F}">
            <xm:f>MATCH($O$8,HOLIDAYS!$B$2:$B$22,0)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I9:O19</xm:sqref>
        </x14:conditionalFormatting>
        <x14:conditionalFormatting xmlns:xm="http://schemas.microsoft.com/office/excel/2006/main">
          <x14:cfRule type="expression" priority="78" id="{0748D71B-662B-48A0-9E58-3828785FA2BB}">
            <xm:f>MATCH($V$8,HOLIDAYS!$B$2:$B$22,0)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P9:V19</xm:sqref>
        </x14:conditionalFormatting>
        <x14:conditionalFormatting xmlns:xm="http://schemas.microsoft.com/office/excel/2006/main">
          <x14:cfRule type="expression" priority="81" id="{A19C2DE2-852D-47ED-BFCB-20F73E2E04C8}">
            <xm:f>MATCH($AJ$8,HOLIDAYS!$B$2:$B$22,0)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AD9:AJ19</xm:sqref>
        </x14:conditionalFormatting>
        <x14:conditionalFormatting xmlns:xm="http://schemas.microsoft.com/office/excel/2006/main">
          <x14:cfRule type="expression" priority="77" id="{2F9E553A-533F-4A35-B12B-FD4F7F207B15}">
            <xm:f>MATCH($AC$8,HOLIDAYS!$B$2:$B$22,0)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W9:AC19</xm:sqref>
        </x14:conditionalFormatting>
        <x14:conditionalFormatting xmlns:xm="http://schemas.microsoft.com/office/excel/2006/main">
          <x14:cfRule type="expression" priority="75" id="{F62212C9-23CB-41CF-91CA-FC894D910A53}">
            <xm:f>MATCH($AJ$68,HOLIDAYS!$B$2:$B$22,0)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AD69:AJ79</xm:sqref>
        </x14:conditionalFormatting>
        <x14:conditionalFormatting xmlns:xm="http://schemas.microsoft.com/office/excel/2006/main">
          <x14:cfRule type="expression" priority="74" id="{6843169B-E396-457E-95C6-069358004F9F}">
            <xm:f>MATCH($AC$68,HOLIDAYS!$B$2:$B$22,0)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W69:AC79</xm:sqref>
        </x14:conditionalFormatting>
        <x14:conditionalFormatting xmlns:xm="http://schemas.microsoft.com/office/excel/2006/main">
          <x14:cfRule type="expression" priority="72" id="{BE7EBC67-A6DC-422A-B22D-24102E1A9197}">
            <xm:f>MATCH($V$68,HOLIDAYS!$B$2:$B$22,0)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P69:V79</xm:sqref>
        </x14:conditionalFormatting>
        <x14:conditionalFormatting xmlns:xm="http://schemas.microsoft.com/office/excel/2006/main">
          <x14:cfRule type="expression" priority="71" id="{32D6D016-B6C8-4717-8B26-56AD0F4790EF}">
            <xm:f>MATCH($O$68,HOLIDAYS!$B$2:$B$22,0)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I69:O79</xm:sqref>
        </x14:conditionalFormatting>
        <x14:conditionalFormatting xmlns:xm="http://schemas.microsoft.com/office/excel/2006/main">
          <x14:cfRule type="expression" priority="70" id="{A63EFE72-9A38-4A6B-948C-32E0CC7370CB}">
            <xm:f>MATCH($H$68,HOLIDAYS!$B$2:$B$22,0)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B69:H79</xm:sqref>
        </x14:conditionalFormatting>
        <x14:conditionalFormatting xmlns:xm="http://schemas.microsoft.com/office/excel/2006/main">
          <x14:cfRule type="expression" priority="69" id="{7A8BD58F-57EF-41D1-99DB-CE228615AC8C}">
            <xm:f>MATCH($AJ$56,HOLIDAYS!$B$2:$B$22,0)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AD57:AJ67</xm:sqref>
        </x14:conditionalFormatting>
        <x14:conditionalFormatting xmlns:xm="http://schemas.microsoft.com/office/excel/2006/main">
          <x14:cfRule type="expression" priority="68" id="{70F5641D-6250-4C95-B031-1B151381DCF6}">
            <xm:f>MATCH($AC$56,HOLIDAYS!$B$2:$B$22,0)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W57:AC67</xm:sqref>
        </x14:conditionalFormatting>
        <x14:conditionalFormatting xmlns:xm="http://schemas.microsoft.com/office/excel/2006/main">
          <x14:cfRule type="expression" priority="67" id="{C2FD8213-0651-4DC0-958D-85F6AA60DFCE}">
            <xm:f>MATCH($V$56,HOLIDAYS!$B$2:$B$22,0)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P57:V67</xm:sqref>
        </x14:conditionalFormatting>
        <x14:conditionalFormatting xmlns:xm="http://schemas.microsoft.com/office/excel/2006/main">
          <x14:cfRule type="expression" priority="66" id="{C09812CC-09E9-4001-92B4-39CCDDFB6E77}">
            <xm:f>MATCH($O$56,HOLIDAYS!$B$2:$B$22,0)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I57:O67</xm:sqref>
        </x14:conditionalFormatting>
        <x14:conditionalFormatting xmlns:xm="http://schemas.microsoft.com/office/excel/2006/main">
          <x14:cfRule type="expression" priority="65" id="{E802A40F-D1F5-43AD-A173-B7C4C29ECABF}">
            <xm:f>MATCH($H$56,HOLIDAYS!$B$2:$B$22,0)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B57:H67</xm:sqref>
        </x14:conditionalFormatting>
        <x14:conditionalFormatting xmlns:xm="http://schemas.microsoft.com/office/excel/2006/main">
          <x14:cfRule type="expression" priority="64" id="{46C3F2FC-45E0-4D59-AA23-BEEC1C58CF32}">
            <xm:f>MATCH($H$20,HOLIDAYS!$B$2:$B$22,0)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B21:H31</xm:sqref>
        </x14:conditionalFormatting>
        <x14:conditionalFormatting xmlns:xm="http://schemas.microsoft.com/office/excel/2006/main">
          <x14:cfRule type="expression" priority="57" id="{508146CA-B2AF-4DF3-A7FC-57BE7FDB0637}">
            <xm:f>MATCH($O$20,HOLIDAYS!$B$2:$B$22,0)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I21:O31</xm:sqref>
        </x14:conditionalFormatting>
        <x14:conditionalFormatting xmlns:xm="http://schemas.microsoft.com/office/excel/2006/main">
          <x14:cfRule type="expression" priority="56" id="{4280F48E-CA14-4491-A531-5DBE5C82E34E}">
            <xm:f>MATCH($V$20,HOLIDAYS!$B$2:$B$22,0)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P21:V31</xm:sqref>
        </x14:conditionalFormatting>
        <x14:conditionalFormatting xmlns:xm="http://schemas.microsoft.com/office/excel/2006/main">
          <x14:cfRule type="expression" priority="55" id="{1D17D535-BF38-4C71-9650-18F7734C0496}">
            <xm:f>MATCH($AC$20,HOLIDAYS!$B$2:$B$22,0)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W21:AC31</xm:sqref>
        </x14:conditionalFormatting>
        <x14:conditionalFormatting xmlns:xm="http://schemas.microsoft.com/office/excel/2006/main">
          <x14:cfRule type="expression" priority="54" id="{D5643A22-8D5F-43F4-8C6F-54D596EB7080}">
            <xm:f>MATCH($AJ$20,HOLIDAYS!$B$2:$B$22,0)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AD21:AJ31</xm:sqref>
        </x14:conditionalFormatting>
        <x14:conditionalFormatting xmlns:xm="http://schemas.microsoft.com/office/excel/2006/main">
          <x14:cfRule type="expression" priority="53" id="{134FE542-C226-4704-AD4A-BFC1E53A2FC4}">
            <xm:f>MATCH($H$32,HOLIDAYS!$B$2:$B$22,0)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B33:H43</xm:sqref>
        </x14:conditionalFormatting>
        <x14:conditionalFormatting xmlns:xm="http://schemas.microsoft.com/office/excel/2006/main">
          <x14:cfRule type="expression" priority="52" id="{9D2E84DC-57E7-4203-9356-92116FE24F1B}">
            <xm:f>MATCH($O$32,HOLIDAYS!$B$2:$B$22,0)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I33:O43</xm:sqref>
        </x14:conditionalFormatting>
        <x14:conditionalFormatting xmlns:xm="http://schemas.microsoft.com/office/excel/2006/main">
          <x14:cfRule type="expression" priority="51" id="{89306824-136D-4621-A305-87C4AE96F566}">
            <xm:f>MATCH($V$32,HOLIDAYS!$B$2:$B$22,0)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P33:V43</xm:sqref>
        </x14:conditionalFormatting>
        <x14:conditionalFormatting xmlns:xm="http://schemas.microsoft.com/office/excel/2006/main">
          <x14:cfRule type="expression" priority="50" id="{241DE6F9-24FF-40CF-99C9-91261471E971}">
            <xm:f>MATCH($AC$32,HOLIDAYS!$B$2:$B$22,0)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W33:AC43</xm:sqref>
        </x14:conditionalFormatting>
        <x14:conditionalFormatting xmlns:xm="http://schemas.microsoft.com/office/excel/2006/main">
          <x14:cfRule type="expression" priority="49" id="{7AEB8965-6A9B-4D47-8C6C-0147F65DA624}">
            <xm:f>MATCH($AJ$32,HOLIDAYS!$B$2:$B$22,0)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AD33:AJ43</xm:sqref>
        </x14:conditionalFormatting>
        <x14:conditionalFormatting xmlns:xm="http://schemas.microsoft.com/office/excel/2006/main">
          <x14:cfRule type="expression" priority="48" id="{0B6A10A5-1914-4ACA-B875-D8C01AE4F046}">
            <xm:f>MATCH($H$44,HOLIDAYS!$B$2:$B$22,0)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B45:H55</xm:sqref>
        </x14:conditionalFormatting>
        <x14:conditionalFormatting xmlns:xm="http://schemas.microsoft.com/office/excel/2006/main">
          <x14:cfRule type="expression" priority="47" id="{2FD006CE-ACE3-4DB7-B7E1-C9324DF06AEF}">
            <xm:f>MATCH($O$44,HOLIDAYS!$B$2:$B$22,0)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I45:O55</xm:sqref>
        </x14:conditionalFormatting>
        <x14:conditionalFormatting xmlns:xm="http://schemas.microsoft.com/office/excel/2006/main">
          <x14:cfRule type="expression" priority="46" id="{6FD05CD7-D3DC-486A-AB50-EAB755CFCB10}">
            <xm:f>MATCH($V$44,HOLIDAYS!$B$2:$B$22,0)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P45:V55</xm:sqref>
        </x14:conditionalFormatting>
        <x14:conditionalFormatting xmlns:xm="http://schemas.microsoft.com/office/excel/2006/main">
          <x14:cfRule type="expression" priority="45" id="{B9B0AF96-3240-4C78-8D4C-1514D89773BB}">
            <xm:f>MATCH($AC$44,HOLIDAYS!$B$2:$B$22,0)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W45:AC55</xm:sqref>
        </x14:conditionalFormatting>
        <x14:conditionalFormatting xmlns:xm="http://schemas.microsoft.com/office/excel/2006/main">
          <x14:cfRule type="expression" priority="44" id="{2468A030-0D6C-4EEF-AAAB-53F02E66BD29}">
            <xm:f>MATCH($AJ$44,HOLIDAYS!$B$2:$B$22,0)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AD45:AJ55</xm:sqref>
        </x14:conditionalFormatting>
        <x14:conditionalFormatting xmlns:xm="http://schemas.microsoft.com/office/excel/2006/main">
          <x14:cfRule type="expression" priority="58" id="{DEC298BF-2100-4F70-88F5-AB6E20816758}">
            <xm:f>MATCH($B$20,HOLIDAYS!$D$2:$D$22,0)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B20:H20</xm:sqref>
        </x14:conditionalFormatting>
        <x14:conditionalFormatting xmlns:xm="http://schemas.microsoft.com/office/excel/2006/main">
          <x14:cfRule type="expression" priority="82" id="{991B3AD6-AACA-4922-86C9-AB7320F7CC3F}">
            <xm:f>MATCH($B$8,HOLIDAYS!$D$2:$D$22,0)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B8:H8</xm:sqref>
        </x14:conditionalFormatting>
        <x14:conditionalFormatting xmlns:xm="http://schemas.microsoft.com/office/excel/2006/main">
          <x14:cfRule type="expression" priority="61" id="{1997424F-4023-412D-9C31-02A275B3C4D2}">
            <xm:f>MATCH($I$8,HOLIDAYS!$D$2:$D$22,0)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I8:O8</xm:sqref>
        </x14:conditionalFormatting>
        <x14:conditionalFormatting xmlns:xm="http://schemas.microsoft.com/office/excel/2006/main">
          <x14:cfRule type="expression" priority="60" id="{CE33FCC1-3EF7-4497-AB8F-041F9B75B56E}">
            <xm:f>MATCH($P$8,HOLIDAYS!$D$2:$D$22,0)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P8:V8</xm:sqref>
        </x14:conditionalFormatting>
        <x14:conditionalFormatting xmlns:xm="http://schemas.microsoft.com/office/excel/2006/main">
          <x14:cfRule type="expression" priority="59" id="{738CA2D7-E210-4F00-ACD2-BFB2C4E8A288}">
            <xm:f>MATCH($W$8,HOLIDAYS!$D$2:$D$22,0)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W8:AC8</xm:sqref>
        </x14:conditionalFormatting>
        <x14:conditionalFormatting xmlns:xm="http://schemas.microsoft.com/office/excel/2006/main">
          <x14:cfRule type="expression" priority="76" id="{8C87850E-DF32-4460-875A-9725D3AC1206}">
            <xm:f>MATCH($AD$8,HOLIDAYS!$D$2:$D$22,0)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AD8:AJ8</xm:sqref>
        </x14:conditionalFormatting>
        <x14:conditionalFormatting xmlns:xm="http://schemas.microsoft.com/office/excel/2006/main">
          <x14:cfRule type="expression" priority="25" id="{1DFCA0F0-CA1A-4A5E-8F6D-1DB2D24F7FD0}">
            <xm:f>MATCH($I$20,HOLIDAYS!$D$2:$D$22,0)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I20:O20</xm:sqref>
        </x14:conditionalFormatting>
        <x14:conditionalFormatting xmlns:xm="http://schemas.microsoft.com/office/excel/2006/main">
          <x14:cfRule type="expression" priority="24" id="{732E465A-B2B4-45A4-868C-52E78EE7C8D1}">
            <xm:f>MATCH($P$20,HOLIDAYS!$D$2:$D$22,0)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P20:V20</xm:sqref>
        </x14:conditionalFormatting>
        <x14:conditionalFormatting xmlns:xm="http://schemas.microsoft.com/office/excel/2006/main">
          <x14:cfRule type="expression" priority="23" id="{FABEAE3A-457E-428A-B399-EA3B0881172F}">
            <xm:f>MATCH($W$20,HOLIDAYS!$D$2:$D$22,0)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W20:AC20</xm:sqref>
        </x14:conditionalFormatting>
        <x14:conditionalFormatting xmlns:xm="http://schemas.microsoft.com/office/excel/2006/main">
          <x14:cfRule type="expression" priority="22" id="{38372D21-15E8-408F-8335-DDBBFED7EA5F}">
            <xm:f>MATCH($AD$20,HOLIDAYS!$D$2:$D$22,0)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AD20:AJ20</xm:sqref>
        </x14:conditionalFormatting>
        <x14:conditionalFormatting xmlns:xm="http://schemas.microsoft.com/office/excel/2006/main">
          <x14:cfRule type="expression" priority="21" id="{835F93BC-1B0D-4B85-81A3-E82BABA55713}">
            <xm:f>MATCH($B$32,HOLIDAYS!$D$2:$D$22,0)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B32:H32</xm:sqref>
        </x14:conditionalFormatting>
        <x14:conditionalFormatting xmlns:xm="http://schemas.microsoft.com/office/excel/2006/main">
          <x14:cfRule type="expression" priority="20" id="{5A1595BF-E150-440C-A4DB-16A370D454F5}">
            <xm:f>MATCH($I$32,HOLIDAYS!$D$2:$D$22,0)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I32:O32</xm:sqref>
        </x14:conditionalFormatting>
        <x14:conditionalFormatting xmlns:xm="http://schemas.microsoft.com/office/excel/2006/main">
          <x14:cfRule type="expression" priority="19" id="{5DD85B80-BB1A-41C7-A295-5BD5C9E4CD17}">
            <xm:f>MATCH($P$32,HOLIDAYS!$D$2:$D$22,0)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P32:V32</xm:sqref>
        </x14:conditionalFormatting>
        <x14:conditionalFormatting xmlns:xm="http://schemas.microsoft.com/office/excel/2006/main">
          <x14:cfRule type="expression" priority="18" id="{BC42D680-3835-4135-93F5-6EFCA3BD4E95}">
            <xm:f>MATCH($W$32,HOLIDAYS!$D$2:$D$22,0)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W32:AC32</xm:sqref>
        </x14:conditionalFormatting>
        <x14:conditionalFormatting xmlns:xm="http://schemas.microsoft.com/office/excel/2006/main">
          <x14:cfRule type="expression" priority="17" id="{DC539B90-A8DF-48B1-80F7-C6179AAA097D}">
            <xm:f>MATCH($AD$32,HOLIDAYS!$D$2:$D$22,0)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AD32:AJ32</xm:sqref>
        </x14:conditionalFormatting>
        <x14:conditionalFormatting xmlns:xm="http://schemas.microsoft.com/office/excel/2006/main">
          <x14:cfRule type="expression" priority="15" id="{AC05A9B5-E162-4244-ADBC-42B5141C79BD}">
            <xm:f>MATCH($AD$44,HOLIDAYS!$D$2:$D$22,0)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AD44:AJ44</xm:sqref>
        </x14:conditionalFormatting>
        <x14:conditionalFormatting xmlns:xm="http://schemas.microsoft.com/office/excel/2006/main">
          <x14:cfRule type="expression" priority="16" id="{4FD477AF-B36E-49ED-BCC2-24FA2F3DE3E5}">
            <xm:f>MATCH($W$44,HOLIDAYS!$D$2:$D$22,0)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W44:AC44</xm:sqref>
        </x14:conditionalFormatting>
        <x14:conditionalFormatting xmlns:xm="http://schemas.microsoft.com/office/excel/2006/main">
          <x14:cfRule type="expression" priority="14" id="{09FACDBC-2B83-424A-9FF9-69DCC95986F7}">
            <xm:f>MATCH($P$44,HOLIDAYS!$D$2:$D$22,0)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P44:V44</xm:sqref>
        </x14:conditionalFormatting>
        <x14:conditionalFormatting xmlns:xm="http://schemas.microsoft.com/office/excel/2006/main">
          <x14:cfRule type="expression" priority="13" id="{C628EFB3-F085-4177-B915-A50728640CE1}">
            <xm:f>MATCH($I$44,HOLIDAYS!$D$2:$D$22,0)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I44:O44</xm:sqref>
        </x14:conditionalFormatting>
        <x14:conditionalFormatting xmlns:xm="http://schemas.microsoft.com/office/excel/2006/main">
          <x14:cfRule type="expression" priority="12" id="{0CF490C1-4E8D-44C1-AEAA-EA5347C8845A}">
            <xm:f>MATCH($B$44,HOLIDAYS!$D$2:$D$22,0)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B44:H44</xm:sqref>
        </x14:conditionalFormatting>
        <x14:conditionalFormatting xmlns:xm="http://schemas.microsoft.com/office/excel/2006/main">
          <x14:cfRule type="expression" priority="43" id="{660A04EF-4EEB-457D-8E42-2B87F31F02CA}">
            <xm:f>MATCH($B$56,HOLIDAYS!$D$2:$D$22,0)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B56:H56</xm:sqref>
        </x14:conditionalFormatting>
        <x14:conditionalFormatting xmlns:xm="http://schemas.microsoft.com/office/excel/2006/main">
          <x14:cfRule type="expression" priority="42" id="{9443A139-F459-4C8D-A5B7-4BAB5F006DF7}">
            <xm:f>MATCH($I$56,HOLIDAYS!$D$2:$D$22,0)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I56:O56</xm:sqref>
        </x14:conditionalFormatting>
        <x14:conditionalFormatting xmlns:xm="http://schemas.microsoft.com/office/excel/2006/main">
          <x14:cfRule type="expression" priority="41" id="{98AE5189-B120-4022-A8DF-47000A73345C}">
            <xm:f>MATCH($P$56,HOLIDAYS!$D$2:$D$22,0)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P56:V56</xm:sqref>
        </x14:conditionalFormatting>
        <x14:conditionalFormatting xmlns:xm="http://schemas.microsoft.com/office/excel/2006/main">
          <x14:cfRule type="expression" priority="40" id="{3740A782-8532-4D19-A00A-FA1AE5AA8410}">
            <xm:f>MATCH($W$56,HOLIDAYS!$D$2:$D$22,0)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W56:AC56</xm:sqref>
        </x14:conditionalFormatting>
        <x14:conditionalFormatting xmlns:xm="http://schemas.microsoft.com/office/excel/2006/main">
          <x14:cfRule type="expression" priority="63" id="{9BDF79B6-4AE6-438E-840F-5558B71EF276}">
            <xm:f>MATCH($AD$56,HOLIDAYS!$D$2:$D$22,0)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AD56:AJ56</xm:sqref>
        </x14:conditionalFormatting>
        <x14:conditionalFormatting xmlns:xm="http://schemas.microsoft.com/office/excel/2006/main">
          <x14:cfRule type="expression" priority="35" id="{E8A67E1B-6DAC-4845-94F5-25E6A5BDEF30}">
            <xm:f>MATCH($AD$68,HOLIDAYS!$D$2:$D$22,0)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AD68:AJ68</xm:sqref>
        </x14:conditionalFormatting>
        <x14:conditionalFormatting xmlns:xm="http://schemas.microsoft.com/office/excel/2006/main">
          <x14:cfRule type="expression" priority="36" id="{3747D2A8-A79E-4FEE-84E1-17979DDFA0B7}">
            <xm:f>MATCH($W$68,HOLIDAYS!$D$2:$D$22,0)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W68:AC68</xm:sqref>
        </x14:conditionalFormatting>
        <x14:conditionalFormatting xmlns:xm="http://schemas.microsoft.com/office/excel/2006/main">
          <x14:cfRule type="expression" priority="37" id="{A8000ED9-8604-499B-BDBA-13C3EAFB09AF}">
            <xm:f>MATCH($P$68,HOLIDAYS!$D$2:$D$22,0)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P68:V68</xm:sqref>
        </x14:conditionalFormatting>
        <x14:conditionalFormatting xmlns:xm="http://schemas.microsoft.com/office/excel/2006/main">
          <x14:cfRule type="expression" priority="38" id="{CA76412A-657C-43AD-BF35-F63E737237B7}">
            <xm:f>MATCH($I$68,HOLIDAYS!$D$2:$D$22,0)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I68:O68</xm:sqref>
        </x14:conditionalFormatting>
        <x14:conditionalFormatting xmlns:xm="http://schemas.microsoft.com/office/excel/2006/main">
          <x14:cfRule type="expression" priority="39" id="{734677B9-7A5F-42B2-857F-CD74A66FF189}">
            <xm:f>MATCH($B$68,HOLIDAYS!$D$2:$D$22,0)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B68:H68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75142-BA18-46F4-8821-73D9ECE68620}">
  <sheetPr codeName="Sheet5">
    <tabColor theme="0" tint="-0.34998626667073579"/>
  </sheetPr>
  <dimension ref="A1:W43"/>
  <sheetViews>
    <sheetView zoomScaleNormal="110" workbookViewId="0">
      <selection activeCell="B23" sqref="B23"/>
    </sheetView>
  </sheetViews>
  <sheetFormatPr defaultColWidth="9" defaultRowHeight="18"/>
  <cols>
    <col min="1" max="1" width="25.125" style="62" customWidth="1"/>
    <col min="2" max="2" width="13.375" style="62" customWidth="1"/>
    <col min="3" max="3" width="10.375" style="62" customWidth="1"/>
    <col min="4" max="4" width="10.5" style="62" customWidth="1"/>
    <col min="5" max="5" width="43.625" style="62" customWidth="1"/>
    <col min="6" max="6" width="15.125" style="62" customWidth="1"/>
    <col min="7" max="7" width="7.625" style="62" customWidth="1"/>
    <col min="8" max="8" width="10.375" style="62" customWidth="1"/>
    <col min="9" max="9" width="12.125" style="62" customWidth="1"/>
    <col min="10" max="10" width="9" style="62"/>
    <col min="11" max="11" width="34.625" style="62" customWidth="1"/>
    <col min="12" max="12" width="19.5" style="62" customWidth="1"/>
    <col min="13" max="13" width="17.375" style="62" customWidth="1"/>
    <col min="14" max="14" width="23.5" style="62" customWidth="1"/>
    <col min="15" max="15" width="16.625" style="62" customWidth="1"/>
    <col min="16" max="16" width="21.625" style="62" customWidth="1"/>
    <col min="17" max="16384" width="9" style="62"/>
  </cols>
  <sheetData>
    <row r="1" spans="1:23">
      <c r="A1" s="63"/>
      <c r="B1" s="63"/>
      <c r="C1" s="63"/>
      <c r="D1" s="63"/>
      <c r="E1" s="63"/>
      <c r="F1" s="63"/>
      <c r="G1" s="63"/>
      <c r="H1" s="63"/>
      <c r="I1" s="63"/>
      <c r="K1" s="63"/>
      <c r="L1" s="63"/>
      <c r="M1" s="63"/>
      <c r="N1" s="63"/>
      <c r="O1" s="63"/>
    </row>
    <row r="2" spans="1:23" ht="24.75" customHeight="1">
      <c r="A2" s="63"/>
      <c r="B2" s="159" t="s">
        <v>236</v>
      </c>
      <c r="C2" s="160">
        <v>2023</v>
      </c>
      <c r="D2" s="160"/>
      <c r="E2" s="160"/>
      <c r="F2" s="160"/>
      <c r="G2" s="160"/>
      <c r="H2" s="160"/>
      <c r="I2" s="161"/>
      <c r="K2" s="162" t="s">
        <v>236</v>
      </c>
      <c r="L2" s="162"/>
      <c r="M2" s="162"/>
      <c r="N2" s="162"/>
      <c r="O2" s="162"/>
      <c r="P2" s="166" t="s">
        <v>237</v>
      </c>
      <c r="Q2" s="167"/>
      <c r="R2" s="167"/>
      <c r="S2" s="167"/>
      <c r="T2" s="167"/>
      <c r="U2" s="167"/>
      <c r="V2" s="167"/>
    </row>
    <row r="3" spans="1:23" ht="21" customHeight="1">
      <c r="A3" s="63"/>
      <c r="B3" s="66" t="s">
        <v>238</v>
      </c>
      <c r="C3" s="66" t="s">
        <v>239</v>
      </c>
      <c r="D3" s="66" t="s">
        <v>240</v>
      </c>
      <c r="E3" s="66" t="s">
        <v>241</v>
      </c>
      <c r="F3" s="66" t="s">
        <v>242</v>
      </c>
      <c r="G3" s="66" t="s">
        <v>243</v>
      </c>
      <c r="H3" s="66" t="s">
        <v>244</v>
      </c>
      <c r="I3" s="66" t="s">
        <v>245</v>
      </c>
      <c r="K3" s="72" t="s">
        <v>246</v>
      </c>
      <c r="L3" s="72" t="s">
        <v>247</v>
      </c>
      <c r="M3" s="72" t="s">
        <v>248</v>
      </c>
      <c r="N3" s="72" t="s">
        <v>249</v>
      </c>
      <c r="O3" s="72" t="s">
        <v>250</v>
      </c>
      <c r="P3" s="166"/>
      <c r="Q3" s="167"/>
      <c r="R3" s="167"/>
      <c r="S3" s="167"/>
      <c r="T3" s="167"/>
      <c r="U3" s="167"/>
      <c r="V3" s="167"/>
    </row>
    <row r="4" spans="1:23" ht="33">
      <c r="A4" s="63"/>
      <c r="B4" s="74">
        <v>45135</v>
      </c>
      <c r="C4" s="67" t="s">
        <v>119</v>
      </c>
      <c r="D4" s="67" t="s">
        <v>95</v>
      </c>
      <c r="E4" s="67" t="s">
        <v>216</v>
      </c>
      <c r="F4" s="67" t="s">
        <v>147</v>
      </c>
      <c r="G4" s="68" t="s">
        <v>97</v>
      </c>
      <c r="H4" s="68">
        <v>6</v>
      </c>
      <c r="I4" s="74">
        <v>45138</v>
      </c>
      <c r="K4" s="75" t="str">
        <f>IF(ISBLANK(C4),"",_xlfn.CONCAT("("&amp;C4&amp;")"&amp;" "&amp;D4&amp;" "&amp;"-"&amp;" "&amp;E4))</f>
        <v>(DANIEL) ANIMAX - ANIMAX Brand Sizzle Reel - for APOS event in Sep</v>
      </c>
      <c r="L4" s="77">
        <f>IF(ISBLANK(B4),"",B4+IF(G4="AM", TIME(9,0,0), IF(G4="PM", TIME(14,0,0), "")))</f>
        <v>45135.375</v>
      </c>
      <c r="M4" s="77">
        <f>IF(ISBLANK(B4),"",B4+IF(OR(ISBLANK(L4),ISBLANK(H4)), "", TEXT(L4+H4/24, "hh:mm")))</f>
        <v>45135.625</v>
      </c>
      <c r="N4" s="76"/>
      <c r="O4" s="71" t="str">
        <f>IF(D4="ANIMAX","Blue Category",
 IF(OR(D4="AXN",D4="AXN TW"),"Red Category",
 IF(D4="ONE","Purple Category",
 IF(D4="GEM","Green Category",""))))</f>
        <v>Blue Category</v>
      </c>
      <c r="P4" s="163"/>
      <c r="Q4" s="169" t="s">
        <v>251</v>
      </c>
      <c r="R4" s="169"/>
      <c r="S4" s="169"/>
      <c r="T4" s="169"/>
      <c r="U4" s="169"/>
      <c r="V4" s="169"/>
    </row>
    <row r="5" spans="1:23">
      <c r="A5" s="63"/>
      <c r="B5" s="74">
        <v>45138</v>
      </c>
      <c r="C5" s="67" t="s">
        <v>100</v>
      </c>
      <c r="D5" s="67" t="s">
        <v>98</v>
      </c>
      <c r="E5" s="67" t="s">
        <v>232</v>
      </c>
      <c r="F5" s="67" t="s">
        <v>147</v>
      </c>
      <c r="G5" s="68" t="s">
        <v>97</v>
      </c>
      <c r="H5" s="68">
        <v>4</v>
      </c>
      <c r="I5" s="74">
        <v>45169</v>
      </c>
      <c r="K5" s="75" t="str">
        <f t="shared" ref="K5:K35" si="0">IF(ISBLANK(C5),"",_xlfn.CONCAT("("&amp;C5&amp;")"&amp;" "&amp;D5&amp;" "&amp;"-"&amp;" "&amp;E5))</f>
        <v>(WAYNE) ONE - ONE Sizzle Reel 2023</v>
      </c>
      <c r="L5" s="77">
        <f t="shared" ref="L5:L35" si="1">IF(ISBLANK(B5),"",B5+IF(G5="AM", TIME(9,0,0), IF(G5="PM", TIME(14,0,0), "")))</f>
        <v>45138.375</v>
      </c>
      <c r="M5" s="77">
        <f t="shared" ref="M5:M35" si="2">IF(ISBLANK(B5),"",B5+IF(OR(ISBLANK(L5),ISBLANK(H5)), "", TEXT(L5+H5/24, "hh:mm")))</f>
        <v>45138.541666666664</v>
      </c>
      <c r="N5" s="76"/>
      <c r="O5" s="71" t="str">
        <f t="shared" ref="O5:O35" si="3">IF(D5="ANIMAX","Blue Category",
 IF(OR(D5="AXN",D5="AXN TW"),"Red Category",
 IF(D5="ONE","Purple Category",
 IF(D5="GEM","Green Category",""))))</f>
        <v>Purple Category</v>
      </c>
      <c r="P5" s="163"/>
      <c r="Q5" s="169"/>
      <c r="R5" s="169"/>
      <c r="S5" s="169"/>
      <c r="T5" s="169"/>
      <c r="U5" s="169"/>
      <c r="V5" s="169"/>
      <c r="W5" s="78"/>
    </row>
    <row r="6" spans="1:23">
      <c r="A6" s="63"/>
      <c r="B6" s="74"/>
      <c r="C6" s="67"/>
      <c r="D6" s="67"/>
      <c r="E6" s="67"/>
      <c r="F6" s="67"/>
      <c r="G6" s="68"/>
      <c r="H6" s="68"/>
      <c r="I6" s="74"/>
      <c r="K6" s="75" t="str">
        <f t="shared" si="0"/>
        <v/>
      </c>
      <c r="L6" s="77" t="str">
        <f t="shared" si="1"/>
        <v/>
      </c>
      <c r="M6" s="77" t="str">
        <f t="shared" si="2"/>
        <v/>
      </c>
      <c r="N6" s="76"/>
      <c r="O6" s="71" t="str">
        <f t="shared" si="3"/>
        <v/>
      </c>
      <c r="P6" s="163"/>
      <c r="Q6" s="169"/>
      <c r="R6" s="169"/>
      <c r="S6" s="169"/>
      <c r="T6" s="169"/>
      <c r="U6" s="169"/>
      <c r="V6" s="169"/>
    </row>
    <row r="7" spans="1:23">
      <c r="A7" s="63"/>
      <c r="B7" s="74"/>
      <c r="C7" s="67"/>
      <c r="D7" s="67"/>
      <c r="E7" s="67"/>
      <c r="F7" s="67"/>
      <c r="G7" s="68"/>
      <c r="H7" s="68"/>
      <c r="I7" s="74"/>
      <c r="K7" s="75" t="str">
        <f t="shared" si="0"/>
        <v/>
      </c>
      <c r="L7" s="77" t="str">
        <f t="shared" si="1"/>
        <v/>
      </c>
      <c r="M7" s="77" t="str">
        <f t="shared" si="2"/>
        <v/>
      </c>
      <c r="N7" s="76"/>
      <c r="O7" s="71" t="str">
        <f t="shared" si="3"/>
        <v/>
      </c>
    </row>
    <row r="8" spans="1:23">
      <c r="A8" s="63"/>
      <c r="B8" s="74"/>
      <c r="C8" s="67"/>
      <c r="D8" s="67"/>
      <c r="E8" s="67"/>
      <c r="F8" s="67"/>
      <c r="G8" s="68"/>
      <c r="H8" s="68"/>
      <c r="I8" s="74"/>
      <c r="K8" s="75" t="str">
        <f t="shared" si="0"/>
        <v/>
      </c>
      <c r="L8" s="77" t="str">
        <f t="shared" si="1"/>
        <v/>
      </c>
      <c r="M8" s="77" t="str">
        <f t="shared" si="2"/>
        <v/>
      </c>
      <c r="N8" s="76"/>
      <c r="O8" s="71" t="str">
        <f t="shared" si="3"/>
        <v/>
      </c>
    </row>
    <row r="9" spans="1:23">
      <c r="A9" s="63"/>
      <c r="B9" s="74"/>
      <c r="C9" s="67"/>
      <c r="D9" s="67"/>
      <c r="E9" s="67"/>
      <c r="F9" s="67"/>
      <c r="G9" s="68"/>
      <c r="H9" s="68"/>
      <c r="I9" s="74"/>
      <c r="K9" s="75" t="str">
        <f t="shared" si="0"/>
        <v/>
      </c>
      <c r="L9" s="77" t="str">
        <f t="shared" si="1"/>
        <v/>
      </c>
      <c r="M9" s="77" t="str">
        <f t="shared" si="2"/>
        <v/>
      </c>
      <c r="N9" s="76"/>
      <c r="O9" s="71" t="str">
        <f t="shared" si="3"/>
        <v/>
      </c>
      <c r="P9" s="168"/>
      <c r="Q9" s="164" t="s">
        <v>72</v>
      </c>
      <c r="R9" s="165">
        <v>2023</v>
      </c>
      <c r="S9" s="170" t="s">
        <v>252</v>
      </c>
      <c r="T9" s="170"/>
      <c r="U9" s="170"/>
      <c r="V9" s="170"/>
    </row>
    <row r="10" spans="1:23">
      <c r="A10" s="63"/>
      <c r="B10" s="74"/>
      <c r="C10" s="67"/>
      <c r="D10" s="67"/>
      <c r="E10" s="67"/>
      <c r="F10" s="67"/>
      <c r="G10" s="68"/>
      <c r="H10" s="68"/>
      <c r="I10" s="74"/>
      <c r="K10" s="75" t="str">
        <f t="shared" si="0"/>
        <v/>
      </c>
      <c r="L10" s="77" t="str">
        <f t="shared" si="1"/>
        <v/>
      </c>
      <c r="M10" s="77" t="str">
        <f t="shared" si="2"/>
        <v/>
      </c>
      <c r="N10" s="76"/>
      <c r="O10" s="71" t="str">
        <f t="shared" si="3"/>
        <v/>
      </c>
      <c r="P10" s="168"/>
      <c r="Q10" s="164"/>
      <c r="R10" s="165"/>
      <c r="S10" s="170"/>
      <c r="T10" s="170"/>
      <c r="U10" s="170"/>
      <c r="V10" s="170"/>
    </row>
    <row r="11" spans="1:23">
      <c r="A11" s="63"/>
      <c r="B11" s="74"/>
      <c r="C11" s="67"/>
      <c r="D11" s="67"/>
      <c r="E11" s="67"/>
      <c r="F11" s="67"/>
      <c r="G11" s="68"/>
      <c r="H11" s="68"/>
      <c r="I11" s="74"/>
      <c r="K11" s="75" t="str">
        <f t="shared" si="0"/>
        <v/>
      </c>
      <c r="L11" s="77" t="str">
        <f t="shared" si="1"/>
        <v/>
      </c>
      <c r="M11" s="77" t="str">
        <f t="shared" si="2"/>
        <v/>
      </c>
      <c r="N11" s="76"/>
      <c r="O11" s="71" t="str">
        <f t="shared" si="3"/>
        <v/>
      </c>
      <c r="P11" s="168"/>
      <c r="Q11" s="164" t="s">
        <v>84</v>
      </c>
      <c r="R11" s="165">
        <v>7</v>
      </c>
      <c r="S11" s="170"/>
      <c r="T11" s="170"/>
      <c r="U11" s="170"/>
      <c r="V11" s="170"/>
    </row>
    <row r="12" spans="1:23">
      <c r="A12" s="63"/>
      <c r="B12" s="74"/>
      <c r="C12" s="67"/>
      <c r="D12" s="67"/>
      <c r="E12" s="67"/>
      <c r="F12" s="67"/>
      <c r="G12" s="68"/>
      <c r="H12" s="68"/>
      <c r="I12" s="74"/>
      <c r="K12" s="75" t="str">
        <f t="shared" si="0"/>
        <v/>
      </c>
      <c r="L12" s="77" t="str">
        <f t="shared" si="1"/>
        <v/>
      </c>
      <c r="M12" s="77" t="str">
        <f t="shared" si="2"/>
        <v/>
      </c>
      <c r="N12" s="76"/>
      <c r="O12" s="71" t="str">
        <f t="shared" si="3"/>
        <v/>
      </c>
      <c r="P12" s="168"/>
      <c r="Q12" s="164"/>
      <c r="R12" s="165"/>
      <c r="S12" s="170"/>
      <c r="T12" s="170"/>
      <c r="U12" s="170"/>
      <c r="V12" s="170"/>
    </row>
    <row r="13" spans="1:23">
      <c r="A13" s="63"/>
      <c r="B13" s="74"/>
      <c r="C13" s="67"/>
      <c r="D13" s="67"/>
      <c r="E13" s="67"/>
      <c r="F13" s="67"/>
      <c r="G13" s="68"/>
      <c r="H13" s="68"/>
      <c r="I13" s="74"/>
      <c r="K13" s="75" t="str">
        <f t="shared" si="0"/>
        <v/>
      </c>
      <c r="L13" s="77" t="str">
        <f t="shared" si="1"/>
        <v/>
      </c>
      <c r="M13" s="77" t="str">
        <f t="shared" si="2"/>
        <v/>
      </c>
      <c r="N13" s="70"/>
      <c r="O13" s="71" t="str">
        <f t="shared" si="3"/>
        <v/>
      </c>
    </row>
    <row r="14" spans="1:23">
      <c r="A14" s="63"/>
      <c r="B14" s="74"/>
      <c r="C14" s="67"/>
      <c r="D14" s="67"/>
      <c r="E14" s="67"/>
      <c r="F14" s="67"/>
      <c r="G14" s="68"/>
      <c r="H14" s="68"/>
      <c r="I14" s="74"/>
      <c r="K14" s="75" t="str">
        <f t="shared" si="0"/>
        <v/>
      </c>
      <c r="L14" s="77" t="str">
        <f t="shared" si="1"/>
        <v/>
      </c>
      <c r="M14" s="77" t="str">
        <f t="shared" si="2"/>
        <v/>
      </c>
      <c r="N14" s="70"/>
      <c r="O14" s="71" t="str">
        <f t="shared" si="3"/>
        <v/>
      </c>
    </row>
    <row r="15" spans="1:23">
      <c r="A15" s="63"/>
      <c r="B15" s="74"/>
      <c r="C15" s="67"/>
      <c r="D15" s="67"/>
      <c r="E15" s="67"/>
      <c r="F15" s="67"/>
      <c r="G15" s="68"/>
      <c r="H15" s="68"/>
      <c r="I15" s="74"/>
      <c r="K15" s="75" t="str">
        <f t="shared" si="0"/>
        <v/>
      </c>
      <c r="L15" s="77" t="str">
        <f t="shared" si="1"/>
        <v/>
      </c>
      <c r="M15" s="77" t="str">
        <f t="shared" si="2"/>
        <v/>
      </c>
      <c r="N15" s="70"/>
      <c r="O15" s="71" t="str">
        <f t="shared" si="3"/>
        <v/>
      </c>
    </row>
    <row r="16" spans="1:23">
      <c r="A16" s="63"/>
      <c r="B16" s="74"/>
      <c r="C16" s="67"/>
      <c r="D16" s="67"/>
      <c r="E16" s="67"/>
      <c r="F16" s="67"/>
      <c r="G16" s="68"/>
      <c r="H16" s="68"/>
      <c r="I16" s="74"/>
      <c r="K16" s="75" t="str">
        <f t="shared" si="0"/>
        <v/>
      </c>
      <c r="L16" s="77" t="str">
        <f t="shared" si="1"/>
        <v/>
      </c>
      <c r="M16" s="77" t="str">
        <f t="shared" si="2"/>
        <v/>
      </c>
      <c r="N16" s="70"/>
      <c r="O16" s="71" t="str">
        <f t="shared" si="3"/>
        <v/>
      </c>
    </row>
    <row r="17" spans="1:15">
      <c r="A17" s="63"/>
      <c r="B17" s="74"/>
      <c r="C17" s="67"/>
      <c r="D17" s="67"/>
      <c r="E17" s="67"/>
      <c r="F17" s="67"/>
      <c r="G17" s="68"/>
      <c r="H17" s="68"/>
      <c r="I17" s="74"/>
      <c r="K17" s="75" t="str">
        <f t="shared" si="0"/>
        <v/>
      </c>
      <c r="L17" s="77" t="str">
        <f t="shared" si="1"/>
        <v/>
      </c>
      <c r="M17" s="77" t="str">
        <f t="shared" si="2"/>
        <v/>
      </c>
      <c r="N17" s="70"/>
      <c r="O17" s="71" t="str">
        <f t="shared" si="3"/>
        <v/>
      </c>
    </row>
    <row r="18" spans="1:15">
      <c r="A18" s="63"/>
      <c r="B18" s="74"/>
      <c r="C18" s="67"/>
      <c r="D18" s="67"/>
      <c r="E18" s="67"/>
      <c r="F18" s="67"/>
      <c r="G18" s="68"/>
      <c r="H18" s="68"/>
      <c r="I18" s="74"/>
      <c r="K18" s="75" t="str">
        <f t="shared" si="0"/>
        <v/>
      </c>
      <c r="L18" s="77" t="str">
        <f t="shared" si="1"/>
        <v/>
      </c>
      <c r="M18" s="77" t="str">
        <f t="shared" si="2"/>
        <v/>
      </c>
      <c r="N18" s="70"/>
      <c r="O18" s="71" t="str">
        <f t="shared" si="3"/>
        <v/>
      </c>
    </row>
    <row r="19" spans="1:15">
      <c r="A19" s="63"/>
      <c r="B19" s="74"/>
      <c r="C19" s="67"/>
      <c r="D19" s="67"/>
      <c r="E19" s="67"/>
      <c r="F19" s="67"/>
      <c r="G19" s="68"/>
      <c r="H19" s="68"/>
      <c r="I19" s="74"/>
      <c r="K19" s="75" t="str">
        <f t="shared" si="0"/>
        <v/>
      </c>
      <c r="L19" s="77" t="str">
        <f t="shared" si="1"/>
        <v/>
      </c>
      <c r="M19" s="77" t="str">
        <f t="shared" si="2"/>
        <v/>
      </c>
      <c r="N19" s="70"/>
      <c r="O19" s="71" t="str">
        <f t="shared" si="3"/>
        <v/>
      </c>
    </row>
    <row r="20" spans="1:15">
      <c r="A20" s="63"/>
      <c r="B20" s="74"/>
      <c r="C20" s="67"/>
      <c r="D20" s="67"/>
      <c r="E20" s="67"/>
      <c r="F20" s="67"/>
      <c r="G20" s="68"/>
      <c r="H20" s="68"/>
      <c r="I20" s="74"/>
      <c r="K20" s="75" t="str">
        <f t="shared" si="0"/>
        <v/>
      </c>
      <c r="L20" s="77" t="str">
        <f>IF(ISBLANK(B20),"",B20+IF(G20="AM", TIME(9,0,0), IF(G20="PM", TIME(14,0,0), "")))</f>
        <v/>
      </c>
      <c r="M20" s="77" t="str">
        <f t="shared" si="2"/>
        <v/>
      </c>
      <c r="N20" s="70"/>
      <c r="O20" s="71" t="str">
        <f t="shared" si="3"/>
        <v/>
      </c>
    </row>
    <row r="21" spans="1:15">
      <c r="A21" s="63"/>
      <c r="B21" s="74"/>
      <c r="C21" s="67"/>
      <c r="D21" s="67"/>
      <c r="E21" s="67"/>
      <c r="F21" s="67"/>
      <c r="G21" s="68"/>
      <c r="H21" s="68"/>
      <c r="I21" s="74"/>
      <c r="K21" s="75" t="str">
        <f t="shared" si="0"/>
        <v/>
      </c>
      <c r="L21" s="77" t="str">
        <f t="shared" si="1"/>
        <v/>
      </c>
      <c r="M21" s="77" t="str">
        <f t="shared" si="2"/>
        <v/>
      </c>
      <c r="N21" s="70"/>
      <c r="O21" s="71" t="str">
        <f t="shared" si="3"/>
        <v/>
      </c>
    </row>
    <row r="22" spans="1:15">
      <c r="A22" s="63"/>
      <c r="B22" s="74"/>
      <c r="C22" s="67"/>
      <c r="D22" s="67"/>
      <c r="E22" s="67"/>
      <c r="F22" s="67"/>
      <c r="G22" s="68"/>
      <c r="H22" s="68"/>
      <c r="I22" s="74"/>
      <c r="K22" s="75" t="str">
        <f t="shared" si="0"/>
        <v/>
      </c>
      <c r="L22" s="77" t="str">
        <f t="shared" si="1"/>
        <v/>
      </c>
      <c r="M22" s="77" t="str">
        <f t="shared" si="2"/>
        <v/>
      </c>
      <c r="N22" s="70"/>
      <c r="O22" s="71" t="str">
        <f t="shared" si="3"/>
        <v/>
      </c>
    </row>
    <row r="23" spans="1:15">
      <c r="A23" s="63"/>
      <c r="B23" s="74"/>
      <c r="C23" s="67"/>
      <c r="D23" s="67"/>
      <c r="E23" s="67"/>
      <c r="F23" s="67"/>
      <c r="G23" s="68"/>
      <c r="H23" s="68"/>
      <c r="I23" s="74"/>
      <c r="K23" s="75" t="str">
        <f t="shared" si="0"/>
        <v/>
      </c>
      <c r="L23" s="77" t="str">
        <f t="shared" si="1"/>
        <v/>
      </c>
      <c r="M23" s="77" t="str">
        <f>IF(ISBLANK(B23),"",B23+IF(OR(ISBLANK(L23),ISBLANK(H23)), "", TEXT(L23+H23/24, "hh:mm")))</f>
        <v/>
      </c>
      <c r="N23" s="70"/>
      <c r="O23" s="71" t="str">
        <f t="shared" si="3"/>
        <v/>
      </c>
    </row>
    <row r="24" spans="1:15">
      <c r="A24" s="63"/>
      <c r="B24" s="74"/>
      <c r="C24" s="67"/>
      <c r="D24" s="67"/>
      <c r="E24" s="67"/>
      <c r="F24" s="67"/>
      <c r="G24" s="68"/>
      <c r="H24" s="68"/>
      <c r="I24" s="74"/>
      <c r="K24" s="75" t="str">
        <f t="shared" si="0"/>
        <v/>
      </c>
      <c r="L24" s="77" t="str">
        <f t="shared" si="1"/>
        <v/>
      </c>
      <c r="M24" s="77" t="str">
        <f t="shared" si="2"/>
        <v/>
      </c>
      <c r="N24" s="70"/>
      <c r="O24" s="71" t="str">
        <f t="shared" si="3"/>
        <v/>
      </c>
    </row>
    <row r="25" spans="1:15">
      <c r="A25" s="63"/>
      <c r="B25" s="74"/>
      <c r="C25" s="67"/>
      <c r="D25" s="69"/>
      <c r="E25" s="67"/>
      <c r="F25" s="67"/>
      <c r="G25" s="68"/>
      <c r="H25" s="68"/>
      <c r="I25" s="74"/>
      <c r="K25" s="75" t="str">
        <f t="shared" si="0"/>
        <v/>
      </c>
      <c r="L25" s="77" t="str">
        <f t="shared" si="1"/>
        <v/>
      </c>
      <c r="M25" s="77" t="str">
        <f t="shared" si="2"/>
        <v/>
      </c>
      <c r="N25" s="70"/>
      <c r="O25" s="71" t="str">
        <f t="shared" si="3"/>
        <v/>
      </c>
    </row>
    <row r="26" spans="1:15">
      <c r="A26" s="63"/>
      <c r="B26" s="74"/>
      <c r="C26" s="67"/>
      <c r="D26" s="67"/>
      <c r="E26" s="67"/>
      <c r="F26" s="67"/>
      <c r="G26" s="68"/>
      <c r="H26" s="68"/>
      <c r="I26" s="74"/>
      <c r="K26" s="75" t="str">
        <f t="shared" si="0"/>
        <v/>
      </c>
      <c r="L26" s="77" t="str">
        <f t="shared" si="1"/>
        <v/>
      </c>
      <c r="M26" s="77" t="str">
        <f t="shared" si="2"/>
        <v/>
      </c>
      <c r="N26" s="70"/>
      <c r="O26" s="71" t="str">
        <f t="shared" si="3"/>
        <v/>
      </c>
    </row>
    <row r="27" spans="1:15">
      <c r="A27" s="63"/>
      <c r="B27" s="74"/>
      <c r="C27" s="67"/>
      <c r="D27" s="67"/>
      <c r="E27" s="67"/>
      <c r="F27" s="67"/>
      <c r="G27" s="68"/>
      <c r="H27" s="68"/>
      <c r="I27" s="74"/>
      <c r="K27" s="75" t="str">
        <f>IF(ISBLANK(C27),"",_xlfn.CONCAT("("&amp;C27&amp;")"&amp;" "&amp;D27&amp;" "&amp;"-"&amp;" "&amp;E27))</f>
        <v/>
      </c>
      <c r="L27" s="77" t="str">
        <f t="shared" si="1"/>
        <v/>
      </c>
      <c r="M27" s="77" t="str">
        <f t="shared" si="2"/>
        <v/>
      </c>
      <c r="N27" s="70"/>
      <c r="O27" s="71" t="str">
        <f t="shared" si="3"/>
        <v/>
      </c>
    </row>
    <row r="28" spans="1:15">
      <c r="A28" s="63"/>
      <c r="B28" s="74"/>
      <c r="C28" s="67"/>
      <c r="D28" s="67"/>
      <c r="E28" s="67"/>
      <c r="F28" s="67"/>
      <c r="G28" s="68"/>
      <c r="H28" s="68"/>
      <c r="I28" s="74"/>
      <c r="K28" s="75" t="str">
        <f t="shared" si="0"/>
        <v/>
      </c>
      <c r="L28" s="77" t="str">
        <f t="shared" si="1"/>
        <v/>
      </c>
      <c r="M28" s="77" t="str">
        <f t="shared" si="2"/>
        <v/>
      </c>
      <c r="N28" s="70"/>
      <c r="O28" s="71" t="str">
        <f>IF(D28="ANIMAX","Blue Category",
 IF(OR(D28="AXN",D28="AXN TW"),"Red Category",
 IF(D28="ONE","Purple Category",
 IF(D28="GEM","Green Category",""))))</f>
        <v/>
      </c>
    </row>
    <row r="29" spans="1:15">
      <c r="A29" s="63"/>
      <c r="B29" s="74"/>
      <c r="C29" s="67"/>
      <c r="D29" s="67"/>
      <c r="E29" s="67"/>
      <c r="F29" s="67"/>
      <c r="G29" s="68"/>
      <c r="H29" s="68"/>
      <c r="I29" s="74"/>
      <c r="K29" s="75" t="str">
        <f t="shared" si="0"/>
        <v/>
      </c>
      <c r="L29" s="77" t="str">
        <f t="shared" si="1"/>
        <v/>
      </c>
      <c r="M29" s="77" t="str">
        <f t="shared" si="2"/>
        <v/>
      </c>
      <c r="N29" s="70"/>
      <c r="O29" s="71" t="str">
        <f t="shared" si="3"/>
        <v/>
      </c>
    </row>
    <row r="30" spans="1:15">
      <c r="A30" s="63"/>
      <c r="B30" s="74"/>
      <c r="C30" s="67"/>
      <c r="D30" s="67"/>
      <c r="E30" s="67"/>
      <c r="F30" s="67"/>
      <c r="G30" s="68"/>
      <c r="H30" s="68"/>
      <c r="I30" s="74"/>
      <c r="K30" s="75" t="str">
        <f t="shared" si="0"/>
        <v/>
      </c>
      <c r="L30" s="77" t="str">
        <f t="shared" si="1"/>
        <v/>
      </c>
      <c r="M30" s="77" t="str">
        <f t="shared" si="2"/>
        <v/>
      </c>
      <c r="N30" s="70"/>
      <c r="O30" s="71" t="str">
        <f t="shared" si="3"/>
        <v/>
      </c>
    </row>
    <row r="31" spans="1:15">
      <c r="A31" s="63"/>
      <c r="B31" s="74"/>
      <c r="C31" s="67"/>
      <c r="D31" s="69"/>
      <c r="E31" s="67"/>
      <c r="F31" s="67"/>
      <c r="G31" s="68"/>
      <c r="H31" s="68"/>
      <c r="I31" s="74"/>
      <c r="K31" s="75" t="str">
        <f t="shared" si="0"/>
        <v/>
      </c>
      <c r="L31" s="77" t="str">
        <f t="shared" si="1"/>
        <v/>
      </c>
      <c r="M31" s="77" t="str">
        <f t="shared" si="2"/>
        <v/>
      </c>
      <c r="N31" s="70"/>
      <c r="O31" s="71" t="str">
        <f t="shared" si="3"/>
        <v/>
      </c>
    </row>
    <row r="32" spans="1:15">
      <c r="A32" s="63"/>
      <c r="B32" s="74"/>
      <c r="C32" s="67"/>
      <c r="D32" s="69"/>
      <c r="E32" s="67"/>
      <c r="F32" s="67"/>
      <c r="G32" s="68"/>
      <c r="H32" s="68"/>
      <c r="I32" s="74"/>
      <c r="K32" s="75" t="str">
        <f t="shared" si="0"/>
        <v/>
      </c>
      <c r="L32" s="77" t="str">
        <f t="shared" si="1"/>
        <v/>
      </c>
      <c r="M32" s="77" t="str">
        <f t="shared" si="2"/>
        <v/>
      </c>
      <c r="N32" s="70"/>
      <c r="O32" s="71" t="str">
        <f t="shared" si="3"/>
        <v/>
      </c>
    </row>
    <row r="33" spans="1:15">
      <c r="A33" s="63"/>
      <c r="B33" s="74"/>
      <c r="C33" s="67"/>
      <c r="D33" s="69"/>
      <c r="E33" s="67"/>
      <c r="F33" s="67"/>
      <c r="G33" s="68"/>
      <c r="H33" s="68"/>
      <c r="I33" s="74"/>
      <c r="K33" s="75" t="str">
        <f t="shared" si="0"/>
        <v/>
      </c>
      <c r="L33" s="77" t="str">
        <f t="shared" si="1"/>
        <v/>
      </c>
      <c r="M33" s="77" t="str">
        <f t="shared" si="2"/>
        <v/>
      </c>
      <c r="N33" s="70"/>
      <c r="O33" s="71" t="str">
        <f t="shared" si="3"/>
        <v/>
      </c>
    </row>
    <row r="34" spans="1:15">
      <c r="A34" s="63"/>
      <c r="B34" s="74"/>
      <c r="C34" s="67"/>
      <c r="D34" s="69"/>
      <c r="E34" s="67"/>
      <c r="F34" s="67"/>
      <c r="G34" s="68"/>
      <c r="H34" s="68"/>
      <c r="I34" s="74"/>
      <c r="K34" s="75" t="str">
        <f t="shared" si="0"/>
        <v/>
      </c>
      <c r="L34" s="77" t="str">
        <f t="shared" si="1"/>
        <v/>
      </c>
      <c r="M34" s="77" t="str">
        <f t="shared" si="2"/>
        <v/>
      </c>
      <c r="N34" s="70"/>
      <c r="O34" s="71" t="str">
        <f t="shared" si="3"/>
        <v/>
      </c>
    </row>
    <row r="35" spans="1:15">
      <c r="B35" s="74"/>
      <c r="C35" s="67"/>
      <c r="D35" s="69"/>
      <c r="E35" s="67"/>
      <c r="F35" s="67"/>
      <c r="G35" s="68"/>
      <c r="H35" s="68"/>
      <c r="I35" s="74"/>
      <c r="K35" s="75" t="str">
        <f t="shared" si="0"/>
        <v/>
      </c>
      <c r="L35" s="77" t="str">
        <f t="shared" si="1"/>
        <v/>
      </c>
      <c r="M35" s="77" t="str">
        <f t="shared" si="2"/>
        <v/>
      </c>
      <c r="N35" s="70"/>
      <c r="O35" s="71" t="str">
        <f t="shared" si="3"/>
        <v/>
      </c>
    </row>
    <row r="36" spans="1:15">
      <c r="K36" s="73"/>
    </row>
    <row r="37" spans="1:15">
      <c r="K37" s="73"/>
    </row>
    <row r="38" spans="1:15">
      <c r="K38" s="73"/>
    </row>
    <row r="39" spans="1:15">
      <c r="K39" s="73"/>
    </row>
    <row r="40" spans="1:15">
      <c r="K40" s="73"/>
    </row>
    <row r="41" spans="1:15">
      <c r="K41" s="73"/>
    </row>
    <row r="42" spans="1:15">
      <c r="K42" s="73"/>
    </row>
    <row r="43" spans="1:15">
      <c r="K43" s="73"/>
    </row>
  </sheetData>
  <sheetProtection algorithmName="SHA-512" hashValue="jexug4Mm0znV7w8jUpoDCj674JV+1ncdk8MvbyY2LVQprNeAE3CO6gEuFLDQ/XH6gF9r5vXhwYkuxjzA6wwmRA==" saltValue="5TodXC6bGrRQQQHbRF91cw==" spinCount="100000" sheet="1" objects="1" scenarios="1"/>
  <sortState xmlns:xlrd2="http://schemas.microsoft.com/office/spreadsheetml/2017/richdata2" ref="B4:I5">
    <sortCondition ref="I4"/>
  </sortState>
  <mergeCells count="11">
    <mergeCell ref="Q11:Q12"/>
    <mergeCell ref="R11:R12"/>
    <mergeCell ref="P9:P12"/>
    <mergeCell ref="Q4:V6"/>
    <mergeCell ref="S9:V12"/>
    <mergeCell ref="B2:I2"/>
    <mergeCell ref="K2:O2"/>
    <mergeCell ref="P4:P6"/>
    <mergeCell ref="Q9:Q10"/>
    <mergeCell ref="R9:R10"/>
    <mergeCell ref="P2:V3"/>
  </mergeCells>
  <dataValidations count="1">
    <dataValidation type="list" allowBlank="1" showInputMessage="1" showErrorMessage="1" sqref="N4:N35" xr:uid="{47131BF6-6B76-49B3-B4BA-2F3D4D91EF48}">
      <formula1>"Audio Outsource Oakey,Audio Outsource Kerry,Audio Outsource Lin"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ListOutFreelanceAudio">
                <anchor>
                  <from>
                    <xdr:col>0</xdr:col>
                    <xdr:colOff>371475</xdr:colOff>
                    <xdr:row>3</xdr:row>
                    <xdr:rowOff>38100</xdr:rowOff>
                  </from>
                  <to>
                    <xdr:col>0</xdr:col>
                    <xdr:colOff>1562100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learContents">
                <anchor>
                  <from>
                    <xdr:col>0</xdr:col>
                    <xdr:colOff>371475</xdr:colOff>
                    <xdr:row>5</xdr:row>
                    <xdr:rowOff>152400</xdr:rowOff>
                  </from>
                  <to>
                    <xdr:col>0</xdr:col>
                    <xdr:colOff>1562100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UpdateOusourceAudioCalendar">
                <anchor>
                  <from>
                    <xdr:col>15</xdr:col>
                    <xdr:colOff>266700</xdr:colOff>
                    <xdr:row>3</xdr:row>
                    <xdr:rowOff>28575</xdr:rowOff>
                  </from>
                  <to>
                    <xdr:col>15</xdr:col>
                    <xdr:colOff>1457325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6" name="Button 12">
              <controlPr defaultSize="0" print="0" autoFill="0" autoPict="0" macro="[0]!DeleteEventsInMonth">
                <anchor moveWithCells="1">
                  <from>
                    <xdr:col>15</xdr:col>
                    <xdr:colOff>266700</xdr:colOff>
                    <xdr:row>8</xdr:row>
                    <xdr:rowOff>28575</xdr:rowOff>
                  </from>
                  <to>
                    <xdr:col>15</xdr:col>
                    <xdr:colOff>1457325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7" name="Spinner 14">
              <controlPr defaultSize="0" autoPict="0" altText="YEAR">
                <anchor moveWithCells="1" sizeWithCells="1">
                  <from>
                    <xdr:col>18</xdr:col>
                    <xdr:colOff>9525</xdr:colOff>
                    <xdr:row>8</xdr:row>
                    <xdr:rowOff>0</xdr:rowOff>
                  </from>
                  <to>
                    <xdr:col>18</xdr:col>
                    <xdr:colOff>447675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8" name="Spinner 15">
              <controlPr defaultSize="0" autoPict="0">
                <anchor moveWithCells="1" sizeWithCells="1">
                  <from>
                    <xdr:col>18</xdr:col>
                    <xdr:colOff>9525</xdr:colOff>
                    <xdr:row>10</xdr:row>
                    <xdr:rowOff>0</xdr:rowOff>
                  </from>
                  <to>
                    <xdr:col>18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B6022-83B3-47AE-BAFB-F9C4C7ED8E71}">
  <sheetPr codeName="Sheet7">
    <tabColor theme="0" tint="-0.34998626667073579"/>
  </sheetPr>
  <dimension ref="A1:Y30"/>
  <sheetViews>
    <sheetView zoomScale="90" zoomScaleNormal="90" workbookViewId="0">
      <selection activeCell="H7" sqref="H7"/>
    </sheetView>
  </sheetViews>
  <sheetFormatPr defaultColWidth="9" defaultRowHeight="34.5" customHeight="1"/>
  <cols>
    <col min="1" max="1" width="3.875" style="1" customWidth="1"/>
    <col min="2" max="2" width="8.125" style="1" customWidth="1"/>
    <col min="3" max="3" width="7.625" style="1" customWidth="1"/>
    <col min="4" max="4" width="11.375" style="1" customWidth="1"/>
    <col min="5" max="5" width="14.5" style="1" customWidth="1"/>
    <col min="6" max="7" width="11.875" style="1" customWidth="1"/>
    <col min="8" max="8" width="61.5" style="1" customWidth="1"/>
    <col min="9" max="9" width="22.125" style="1" customWidth="1"/>
    <col min="10" max="10" width="8.375" style="1" customWidth="1"/>
    <col min="11" max="11" width="9" style="1"/>
    <col min="12" max="12" width="12" style="1" customWidth="1"/>
    <col min="13" max="13" width="9.375" style="1" customWidth="1"/>
    <col min="14" max="14" width="16.125" style="1" customWidth="1"/>
    <col min="15" max="15" width="21.875" style="1" customWidth="1"/>
    <col min="16" max="16" width="9" style="1"/>
    <col min="17" max="17" width="12" style="1" customWidth="1"/>
    <col min="18" max="18" width="9.375" style="1" customWidth="1"/>
    <col min="19" max="19" width="16.125" style="1" customWidth="1"/>
    <col min="20" max="20" width="21.875" style="1" customWidth="1"/>
    <col min="21" max="21" width="9" style="1"/>
    <col min="22" max="22" width="12" style="1" customWidth="1"/>
    <col min="23" max="23" width="9.375" style="1" customWidth="1"/>
    <col min="24" max="24" width="16.125" style="1" customWidth="1"/>
    <col min="25" max="25" width="21.875" style="1" customWidth="1"/>
    <col min="26" max="16384" width="9" style="1"/>
  </cols>
  <sheetData>
    <row r="1" spans="1:25" ht="34.5" customHeight="1">
      <c r="A1" s="2"/>
      <c r="B1" s="2"/>
      <c r="C1" s="2"/>
      <c r="D1" s="2"/>
      <c r="E1" s="2"/>
      <c r="F1" s="2"/>
      <c r="G1" s="2"/>
      <c r="H1" s="2"/>
      <c r="I1" s="2"/>
      <c r="J1" s="2"/>
      <c r="L1" s="80" t="s">
        <v>253</v>
      </c>
      <c r="Q1" s="80" t="s">
        <v>254</v>
      </c>
      <c r="V1" s="80" t="s">
        <v>255</v>
      </c>
    </row>
    <row r="2" spans="1:25" ht="39" customHeight="1">
      <c r="A2" s="2"/>
      <c r="B2" s="94" t="s">
        <v>72</v>
      </c>
      <c r="C2" s="95">
        <v>2023</v>
      </c>
      <c r="D2" s="2"/>
      <c r="E2" s="85" t="s">
        <v>256</v>
      </c>
      <c r="F2" s="85" t="s">
        <v>257</v>
      </c>
      <c r="G2" s="85" t="s">
        <v>258</v>
      </c>
      <c r="H2" s="85" t="s">
        <v>259</v>
      </c>
      <c r="I2" s="85" t="s">
        <v>249</v>
      </c>
      <c r="J2" s="85" t="s">
        <v>260</v>
      </c>
      <c r="L2" s="81" t="s">
        <v>240</v>
      </c>
      <c r="M2" s="81" t="s">
        <v>260</v>
      </c>
      <c r="N2" s="81" t="s">
        <v>261</v>
      </c>
      <c r="O2" s="81" t="s">
        <v>262</v>
      </c>
      <c r="Q2" s="81" t="s">
        <v>240</v>
      </c>
      <c r="R2" s="81" t="s">
        <v>260</v>
      </c>
      <c r="S2" s="81" t="s">
        <v>261</v>
      </c>
      <c r="T2" s="81" t="s">
        <v>262</v>
      </c>
      <c r="V2" s="81" t="s">
        <v>240</v>
      </c>
      <c r="W2" s="81" t="s">
        <v>260</v>
      </c>
      <c r="X2" s="81" t="s">
        <v>261</v>
      </c>
      <c r="Y2" s="81" t="s">
        <v>262</v>
      </c>
    </row>
    <row r="3" spans="1:25" ht="34.5" customHeight="1">
      <c r="B3" s="94" t="s">
        <v>84</v>
      </c>
      <c r="C3" s="79">
        <v>7</v>
      </c>
      <c r="E3" s="86"/>
      <c r="F3" s="87"/>
      <c r="G3" s="87"/>
      <c r="H3" s="88"/>
      <c r="I3" s="89"/>
      <c r="J3" s="90" t="str">
        <f t="shared" ref="J3:J30" si="0">IF(ISBLANK(F3),"", (G3-F3)*24)</f>
        <v/>
      </c>
      <c r="L3" s="82" t="s">
        <v>102</v>
      </c>
      <c r="M3" s="92">
        <f>SUMIFS($J$3:$J$30,$H$3:$H$30,"*GEM*",$I$3:$I$30,"KERRY")</f>
        <v>0</v>
      </c>
      <c r="N3" s="84">
        <f t="shared" ref="N3:N5" si="1">M3*60</f>
        <v>0</v>
      </c>
      <c r="O3" s="83"/>
      <c r="Q3" s="82" t="s">
        <v>102</v>
      </c>
      <c r="R3" s="92">
        <f>SUMIFS($J$3:$J$30,$H$3:$H$30,"*GEM*",$I$3:$I$30,"OAKEY")</f>
        <v>0</v>
      </c>
      <c r="S3" s="93">
        <f>R3*340</f>
        <v>0</v>
      </c>
      <c r="T3" s="83"/>
      <c r="V3" s="82" t="s">
        <v>102</v>
      </c>
      <c r="W3" s="92">
        <f>SUMIFS($J$3:$J$30,$H$3:$H$30,"*GEM*",$I$3:$I$30,"LIN")</f>
        <v>0</v>
      </c>
      <c r="X3" s="84">
        <f>W3*50</f>
        <v>0</v>
      </c>
      <c r="Y3" s="83"/>
    </row>
    <row r="4" spans="1:25" ht="34.5" customHeight="1">
      <c r="A4" s="2"/>
      <c r="B4" s="2"/>
      <c r="C4" s="2"/>
      <c r="D4" s="2"/>
      <c r="E4" s="86"/>
      <c r="F4" s="87"/>
      <c r="G4" s="87"/>
      <c r="H4" s="88"/>
      <c r="I4" s="89"/>
      <c r="J4" s="90" t="str">
        <f t="shared" si="0"/>
        <v/>
      </c>
      <c r="L4" s="82" t="s">
        <v>110</v>
      </c>
      <c r="M4" s="92">
        <f>SUMIFS($J$3:$J$30,$H$3:$H$30,"*AXN*",$I$3:$I$30,"KERRY")</f>
        <v>0</v>
      </c>
      <c r="N4" s="84">
        <f t="shared" si="1"/>
        <v>0</v>
      </c>
      <c r="O4" s="83"/>
      <c r="Q4" s="82" t="s">
        <v>110</v>
      </c>
      <c r="R4" s="92">
        <f>SUMIFS($J$3:$J$30,$H$3:$H$30,"*AXN*",$I$3:$I$30,"OAKEY")</f>
        <v>0</v>
      </c>
      <c r="S4" s="93">
        <f t="shared" ref="S4:S6" si="2">R4*340</f>
        <v>0</v>
      </c>
      <c r="T4" s="83"/>
      <c r="V4" s="82" t="s">
        <v>110</v>
      </c>
      <c r="W4" s="92">
        <f>SUMIFS($J$3:$J$30,$H$3:$H$30,"*AXN*",$I$3:$I$30,"LIN")</f>
        <v>0</v>
      </c>
      <c r="X4" s="84">
        <f t="shared" ref="X4:X6" si="3">W4*50</f>
        <v>0</v>
      </c>
      <c r="Y4" s="83"/>
    </row>
    <row r="5" spans="1:25" ht="34.5" customHeight="1">
      <c r="A5" s="2"/>
      <c r="B5" s="2"/>
      <c r="C5" s="2"/>
      <c r="D5" s="2"/>
      <c r="E5" s="86"/>
      <c r="F5" s="87"/>
      <c r="G5" s="87"/>
      <c r="H5" s="88"/>
      <c r="I5" s="89"/>
      <c r="J5" s="90" t="str">
        <f t="shared" si="0"/>
        <v/>
      </c>
      <c r="L5" s="82" t="s">
        <v>95</v>
      </c>
      <c r="M5" s="92">
        <f>SUMIFS($J$3:$J$30,$H$3:$H$30,"*ANIMAX*",$I$3:$I$30,"KERRY")</f>
        <v>0</v>
      </c>
      <c r="N5" s="84">
        <f t="shared" si="1"/>
        <v>0</v>
      </c>
      <c r="O5" s="83"/>
      <c r="Q5" s="82" t="s">
        <v>95</v>
      </c>
      <c r="R5" s="92">
        <f>SUMIFS($J$3:$J$30,$H$3:$H$30,"*ANIMAX*",$I$3:$I$30,"OAKEY")</f>
        <v>0</v>
      </c>
      <c r="S5" s="93">
        <f t="shared" si="2"/>
        <v>0</v>
      </c>
      <c r="T5" s="83"/>
      <c r="V5" s="82" t="s">
        <v>95</v>
      </c>
      <c r="W5" s="92">
        <f>SUMIFS($J$3:$J$30,$H$3:$H$30,"*ANIMAX*",$I$3:$I$30,"LIN")</f>
        <v>0</v>
      </c>
      <c r="X5" s="84">
        <f t="shared" si="3"/>
        <v>0</v>
      </c>
      <c r="Y5" s="83"/>
    </row>
    <row r="6" spans="1:25" ht="34.5" customHeight="1">
      <c r="A6" s="2"/>
      <c r="B6" s="2"/>
      <c r="C6" s="2"/>
      <c r="D6" s="2"/>
      <c r="E6" s="86"/>
      <c r="F6" s="87"/>
      <c r="G6" s="87"/>
      <c r="H6" s="88"/>
      <c r="I6" s="89"/>
      <c r="J6" s="90" t="str">
        <f t="shared" si="0"/>
        <v/>
      </c>
      <c r="L6" s="82" t="s">
        <v>98</v>
      </c>
      <c r="M6" s="92">
        <f>SUMIFS($J$3:$J$30,$H$3:$H$30,"*ONE*",$I$3:$I$30,"KERRY")</f>
        <v>0</v>
      </c>
      <c r="N6" s="84">
        <f>M6*60</f>
        <v>0</v>
      </c>
      <c r="O6" s="83"/>
      <c r="Q6" s="82" t="s">
        <v>98</v>
      </c>
      <c r="R6" s="92">
        <f>SUMIFS($J$3:$J$30,$H$3:$H$30,"*ONE*",$I$3:$I$30,"OAKEY")</f>
        <v>0</v>
      </c>
      <c r="S6" s="93">
        <f t="shared" si="2"/>
        <v>0</v>
      </c>
      <c r="T6" s="83"/>
      <c r="V6" s="82" t="s">
        <v>98</v>
      </c>
      <c r="W6" s="92">
        <f>SUMIFS($J$3:$J$30,$H$3:$H$30,"*ONE*",$I$3:$I$30,"LIN")</f>
        <v>0</v>
      </c>
      <c r="X6" s="84">
        <f t="shared" si="3"/>
        <v>0</v>
      </c>
      <c r="Y6" s="83"/>
    </row>
    <row r="7" spans="1:25" ht="34.5" customHeight="1" thickBot="1">
      <c r="A7" s="2"/>
      <c r="B7" s="2"/>
      <c r="C7" s="2"/>
      <c r="D7" s="2"/>
      <c r="E7" s="86"/>
      <c r="F7" s="87"/>
      <c r="G7" s="87"/>
      <c r="H7" s="88"/>
      <c r="I7" s="89"/>
      <c r="J7" s="90" t="str">
        <f t="shared" si="0"/>
        <v/>
      </c>
    </row>
    <row r="8" spans="1:25" ht="34.5" customHeight="1">
      <c r="A8" s="2"/>
      <c r="B8" s="2"/>
      <c r="C8" s="2"/>
      <c r="D8" s="2"/>
      <c r="E8" s="86"/>
      <c r="F8" s="87"/>
      <c r="G8" s="87"/>
      <c r="H8" s="88"/>
      <c r="I8" s="89"/>
      <c r="J8" s="90" t="str">
        <f t="shared" si="0"/>
        <v/>
      </c>
      <c r="L8" s="171" t="s">
        <v>263</v>
      </c>
      <c r="M8" s="172"/>
      <c r="N8" s="173"/>
    </row>
    <row r="9" spans="1:25" ht="34.5" customHeight="1">
      <c r="A9" s="2"/>
      <c r="B9" s="2"/>
      <c r="C9" s="2"/>
      <c r="D9" s="2"/>
      <c r="E9" s="86"/>
      <c r="F9" s="87"/>
      <c r="G9" s="87"/>
      <c r="H9" s="88"/>
      <c r="I9" s="89"/>
      <c r="J9" s="90" t="str">
        <f t="shared" si="0"/>
        <v/>
      </c>
      <c r="L9" s="174">
        <f>SUM(J3:J30)</f>
        <v>0</v>
      </c>
      <c r="M9" s="175"/>
      <c r="N9" s="176"/>
    </row>
    <row r="10" spans="1:25" ht="34.5" customHeight="1" thickBot="1">
      <c r="A10" s="2"/>
      <c r="B10" s="2"/>
      <c r="C10" s="2"/>
      <c r="D10" s="2"/>
      <c r="E10" s="86"/>
      <c r="F10" s="87"/>
      <c r="G10" s="87"/>
      <c r="H10" s="88"/>
      <c r="I10" s="89"/>
      <c r="J10" s="90" t="str">
        <f t="shared" si="0"/>
        <v/>
      </c>
      <c r="L10" s="177" cm="1">
        <f t="array" ref="L10">SUM(M3:M6+R3:R6+W3:W6)</f>
        <v>0</v>
      </c>
      <c r="M10" s="178"/>
      <c r="N10" s="179"/>
    </row>
    <row r="11" spans="1:25" ht="34.5" customHeight="1">
      <c r="A11" s="2"/>
      <c r="B11" s="2"/>
      <c r="C11" s="2"/>
      <c r="D11" s="2"/>
      <c r="E11" s="86"/>
      <c r="F11" s="87"/>
      <c r="G11" s="87"/>
      <c r="H11" s="88"/>
      <c r="I11" s="89"/>
      <c r="J11" s="90" t="str">
        <f t="shared" si="0"/>
        <v/>
      </c>
    </row>
    <row r="12" spans="1:25" ht="34.5" customHeight="1">
      <c r="A12" s="2"/>
      <c r="B12" s="2"/>
      <c r="C12" s="2"/>
      <c r="D12" s="2"/>
      <c r="E12" s="86"/>
      <c r="F12" s="87"/>
      <c r="G12" s="87"/>
      <c r="H12" s="88"/>
      <c r="I12" s="89"/>
      <c r="J12" s="90" t="str">
        <f t="shared" si="0"/>
        <v/>
      </c>
    </row>
    <row r="13" spans="1:25" ht="34.5" customHeight="1">
      <c r="A13" s="2"/>
      <c r="B13" s="2"/>
      <c r="C13" s="2"/>
      <c r="D13" s="2"/>
      <c r="E13" s="86"/>
      <c r="F13" s="87"/>
      <c r="G13" s="87"/>
      <c r="H13" s="88"/>
      <c r="I13" s="89"/>
      <c r="J13" s="90" t="str">
        <f t="shared" si="0"/>
        <v/>
      </c>
    </row>
    <row r="14" spans="1:25" ht="34.5" customHeight="1">
      <c r="A14" s="2"/>
      <c r="B14" s="2"/>
      <c r="C14" s="2"/>
      <c r="D14" s="2"/>
      <c r="E14" s="86"/>
      <c r="F14" s="87"/>
      <c r="G14" s="87"/>
      <c r="H14" s="88"/>
      <c r="I14" s="89"/>
      <c r="J14" s="90" t="str">
        <f t="shared" si="0"/>
        <v/>
      </c>
    </row>
    <row r="15" spans="1:25" ht="34.5" customHeight="1">
      <c r="A15" s="2"/>
      <c r="B15" s="2"/>
      <c r="C15" s="2"/>
      <c r="D15" s="2"/>
      <c r="E15" s="86"/>
      <c r="F15" s="87"/>
      <c r="G15" s="87"/>
      <c r="H15" s="88"/>
      <c r="I15" s="89"/>
      <c r="J15" s="90" t="str">
        <f t="shared" si="0"/>
        <v/>
      </c>
    </row>
    <row r="16" spans="1:25" ht="34.5" customHeight="1">
      <c r="A16" s="2"/>
      <c r="B16" s="2"/>
      <c r="C16" s="2"/>
      <c r="D16" s="2"/>
      <c r="E16" s="86"/>
      <c r="F16" s="87"/>
      <c r="G16" s="87"/>
      <c r="H16" s="88"/>
      <c r="I16" s="89"/>
      <c r="J16" s="90" t="str">
        <f t="shared" si="0"/>
        <v/>
      </c>
    </row>
    <row r="17" spans="1:10" ht="34.5" customHeight="1">
      <c r="A17" s="2"/>
      <c r="B17" s="2"/>
      <c r="C17" s="2"/>
      <c r="D17" s="2"/>
      <c r="E17" s="86"/>
      <c r="F17" s="87"/>
      <c r="G17" s="87"/>
      <c r="H17" s="88"/>
      <c r="I17" s="89"/>
      <c r="J17" s="90" t="str">
        <f t="shared" si="0"/>
        <v/>
      </c>
    </row>
    <row r="18" spans="1:10" ht="34.5" customHeight="1">
      <c r="A18" s="2"/>
      <c r="B18" s="2"/>
      <c r="C18" s="2"/>
      <c r="D18" s="2"/>
      <c r="E18" s="86"/>
      <c r="F18" s="87"/>
      <c r="G18" s="87"/>
      <c r="H18" s="88"/>
      <c r="I18" s="91"/>
      <c r="J18" s="90" t="str">
        <f t="shared" si="0"/>
        <v/>
      </c>
    </row>
    <row r="19" spans="1:10" ht="34.5" customHeight="1">
      <c r="A19" s="2"/>
      <c r="B19" s="2"/>
      <c r="C19" s="2"/>
      <c r="D19" s="2"/>
      <c r="E19" s="86"/>
      <c r="F19" s="87"/>
      <c r="G19" s="87"/>
      <c r="H19" s="88"/>
      <c r="I19" s="91"/>
      <c r="J19" s="90" t="str">
        <f t="shared" si="0"/>
        <v/>
      </c>
    </row>
    <row r="20" spans="1:10" ht="34.5" customHeight="1">
      <c r="A20" s="2"/>
      <c r="B20" s="2"/>
      <c r="C20" s="2"/>
      <c r="D20" s="2"/>
      <c r="E20" s="86"/>
      <c r="F20" s="87"/>
      <c r="G20" s="87"/>
      <c r="H20" s="88"/>
      <c r="I20" s="91"/>
      <c r="J20" s="90" t="str">
        <f t="shared" si="0"/>
        <v/>
      </c>
    </row>
    <row r="21" spans="1:10" ht="34.5" customHeight="1">
      <c r="A21" s="2"/>
      <c r="B21" s="2"/>
      <c r="C21" s="2"/>
      <c r="D21" s="2"/>
      <c r="E21" s="86"/>
      <c r="F21" s="87"/>
      <c r="G21" s="87"/>
      <c r="H21" s="88"/>
      <c r="I21" s="91"/>
      <c r="J21" s="90" t="str">
        <f t="shared" si="0"/>
        <v/>
      </c>
    </row>
    <row r="22" spans="1:10" ht="34.5" customHeight="1">
      <c r="A22" s="2"/>
      <c r="B22" s="2"/>
      <c r="C22" s="2"/>
      <c r="D22" s="2"/>
      <c r="E22" s="86"/>
      <c r="F22" s="87"/>
      <c r="G22" s="87"/>
      <c r="H22" s="88"/>
      <c r="I22" s="91"/>
      <c r="J22" s="90" t="str">
        <f t="shared" si="0"/>
        <v/>
      </c>
    </row>
    <row r="23" spans="1:10" ht="34.5" customHeight="1">
      <c r="A23" s="2"/>
      <c r="B23" s="2"/>
      <c r="C23" s="2"/>
      <c r="D23" s="2"/>
      <c r="E23" s="86"/>
      <c r="F23" s="87"/>
      <c r="G23" s="87"/>
      <c r="H23" s="88"/>
      <c r="I23" s="91"/>
      <c r="J23" s="90" t="str">
        <f t="shared" si="0"/>
        <v/>
      </c>
    </row>
    <row r="24" spans="1:10" ht="34.5" customHeight="1">
      <c r="A24" s="2"/>
      <c r="B24" s="2"/>
      <c r="C24" s="2"/>
      <c r="D24" s="2"/>
      <c r="E24" s="86"/>
      <c r="F24" s="87"/>
      <c r="G24" s="87"/>
      <c r="H24" s="88"/>
      <c r="I24" s="91"/>
      <c r="J24" s="90" t="str">
        <f t="shared" si="0"/>
        <v/>
      </c>
    </row>
    <row r="25" spans="1:10" ht="34.5" customHeight="1">
      <c r="A25" s="2"/>
      <c r="B25" s="2"/>
      <c r="C25" s="2"/>
      <c r="D25" s="2"/>
      <c r="E25" s="86"/>
      <c r="F25" s="87"/>
      <c r="G25" s="87"/>
      <c r="H25" s="88"/>
      <c r="I25" s="91"/>
      <c r="J25" s="90" t="str">
        <f t="shared" si="0"/>
        <v/>
      </c>
    </row>
    <row r="26" spans="1:10" ht="34.5" customHeight="1">
      <c r="A26" s="2"/>
      <c r="B26" s="2"/>
      <c r="C26" s="2"/>
      <c r="D26" s="2"/>
      <c r="E26" s="86"/>
      <c r="F26" s="87"/>
      <c r="G26" s="87"/>
      <c r="H26" s="88"/>
      <c r="I26" s="91"/>
      <c r="J26" s="90" t="str">
        <f t="shared" si="0"/>
        <v/>
      </c>
    </row>
    <row r="27" spans="1:10" ht="34.5" customHeight="1">
      <c r="A27" s="2"/>
      <c r="B27" s="2"/>
      <c r="C27" s="2"/>
      <c r="D27" s="2"/>
      <c r="E27" s="86"/>
      <c r="F27" s="87"/>
      <c r="G27" s="87"/>
      <c r="H27" s="88"/>
      <c r="I27" s="91"/>
      <c r="J27" s="90" t="str">
        <f t="shared" si="0"/>
        <v/>
      </c>
    </row>
    <row r="28" spans="1:10" ht="34.5" customHeight="1">
      <c r="A28" s="2"/>
      <c r="B28" s="2"/>
      <c r="C28" s="2"/>
      <c r="D28" s="2"/>
      <c r="E28" s="86"/>
      <c r="F28" s="87"/>
      <c r="G28" s="87"/>
      <c r="H28" s="88"/>
      <c r="I28" s="91"/>
      <c r="J28" s="90" t="str">
        <f t="shared" si="0"/>
        <v/>
      </c>
    </row>
    <row r="29" spans="1:10" ht="34.5" customHeight="1">
      <c r="A29" s="2"/>
      <c r="B29" s="2"/>
      <c r="C29" s="2"/>
      <c r="D29" s="2"/>
      <c r="E29" s="86"/>
      <c r="F29" s="87"/>
      <c r="G29" s="87"/>
      <c r="H29" s="88"/>
      <c r="I29" s="91"/>
      <c r="J29" s="90" t="str">
        <f t="shared" si="0"/>
        <v/>
      </c>
    </row>
    <row r="30" spans="1:10" ht="34.5" customHeight="1">
      <c r="A30" s="2"/>
      <c r="B30" s="2"/>
      <c r="C30" s="2"/>
      <c r="D30" s="2"/>
      <c r="E30" s="86"/>
      <c r="F30" s="87"/>
      <c r="G30" s="87"/>
      <c r="H30" s="88"/>
      <c r="I30" s="91"/>
      <c r="J30" s="90" t="str">
        <f t="shared" si="0"/>
        <v/>
      </c>
    </row>
  </sheetData>
  <sheetProtection algorithmName="SHA-512" hashValue="Dj1y/Hnl5n3Mv5g1CM26cdfFOgFm9giPPDOlBRzriaUhyMFpW32iAaRSLCMub24TaAqmWr1vb/NVn5Llox6Fzw==" saltValue="OsJHe2ctmbqLMwCMDjhlUQ==" spinCount="100000" sheet="1" objects="1" scenarios="1"/>
  <sortState xmlns:xlrd2="http://schemas.microsoft.com/office/spreadsheetml/2017/richdata2" ref="E3:I30">
    <sortCondition ref="E3"/>
  </sortState>
  <mergeCells count="3">
    <mergeCell ref="L8:N8"/>
    <mergeCell ref="L9:N9"/>
    <mergeCell ref="L10:N10"/>
  </mergeCells>
  <conditionalFormatting sqref="L9:N10">
    <cfRule type="uniqueValues" dxfId="319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ExportCalendarToExcel">
                <anchor>
                  <from>
                    <xdr:col>1</xdr:col>
                    <xdr:colOff>9525</xdr:colOff>
                    <xdr:row>3</xdr:row>
                    <xdr:rowOff>390525</xdr:rowOff>
                  </from>
                  <to>
                    <xdr:col>3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ClearContentsSummary">
                <anchor>
                  <from>
                    <xdr:col>1</xdr:col>
                    <xdr:colOff>9525</xdr:colOff>
                    <xdr:row>5</xdr:row>
                    <xdr:rowOff>333375</xdr:rowOff>
                  </from>
                  <to>
                    <xdr:col>3</xdr:col>
                    <xdr:colOff>0</xdr:colOff>
                    <xdr:row>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Spinner 4">
              <controlPr defaultSize="0" autoPict="0" altText="YEAR">
                <anchor>
                  <from>
                    <xdr:col>3</xdr:col>
                    <xdr:colOff>9525</xdr:colOff>
                    <xdr:row>1</xdr:row>
                    <xdr:rowOff>0</xdr:rowOff>
                  </from>
                  <to>
                    <xdr:col>3</xdr:col>
                    <xdr:colOff>428625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6" name="Spinner 5">
              <controlPr defaultSize="0" autoPict="0">
                <anchor>
                  <from>
                    <xdr:col>3</xdr:col>
                    <xdr:colOff>9525</xdr:colOff>
                    <xdr:row>2</xdr:row>
                    <xdr:rowOff>9525</xdr:rowOff>
                  </from>
                  <to>
                    <xdr:col>3</xdr:col>
                    <xdr:colOff>428625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300FB-078A-4F04-961A-BC564A87A263}">
  <sheetPr codeName="Sheet2">
    <tabColor theme="0" tint="-0.34998626667073579"/>
  </sheetPr>
  <dimension ref="B1:D22"/>
  <sheetViews>
    <sheetView workbookViewId="0">
      <selection activeCell="D6" sqref="D6"/>
    </sheetView>
  </sheetViews>
  <sheetFormatPr defaultColWidth="8.875" defaultRowHeight="18"/>
  <cols>
    <col min="1" max="1" width="8.875" style="55"/>
    <col min="2" max="2" width="13.375" style="55" customWidth="1"/>
    <col min="3" max="3" width="8.875" style="55"/>
    <col min="4" max="4" width="36.375" style="55" customWidth="1"/>
    <col min="5" max="16384" width="8.875" style="55"/>
  </cols>
  <sheetData>
    <row r="1" spans="2:4" ht="18.75" thickBot="1"/>
    <row r="2" spans="2:4">
      <c r="B2" s="46">
        <v>45079</v>
      </c>
      <c r="C2" s="47">
        <f>B2</f>
        <v>45079</v>
      </c>
      <c r="D2" s="48" t="s">
        <v>264</v>
      </c>
    </row>
    <row r="3" spans="2:4">
      <c r="B3" s="49">
        <v>45106</v>
      </c>
      <c r="C3" s="50">
        <f t="shared" ref="C3:C22" si="0">B3</f>
        <v>45106</v>
      </c>
      <c r="D3" s="51" t="s">
        <v>173</v>
      </c>
    </row>
    <row r="4" spans="2:4">
      <c r="B4" s="49">
        <v>45147</v>
      </c>
      <c r="C4" s="50">
        <f t="shared" si="0"/>
        <v>45147</v>
      </c>
      <c r="D4" s="51" t="s">
        <v>118</v>
      </c>
    </row>
    <row r="5" spans="2:4">
      <c r="B5" s="49">
        <v>45242</v>
      </c>
      <c r="C5" s="50">
        <f t="shared" si="0"/>
        <v>45242</v>
      </c>
      <c r="D5" s="51" t="s">
        <v>265</v>
      </c>
    </row>
    <row r="6" spans="2:4">
      <c r="B6" s="49">
        <v>45243</v>
      </c>
      <c r="C6" s="50">
        <f t="shared" si="0"/>
        <v>45243</v>
      </c>
      <c r="D6" s="51" t="s">
        <v>266</v>
      </c>
    </row>
    <row r="7" spans="2:4">
      <c r="B7" s="49">
        <v>45285</v>
      </c>
      <c r="C7" s="50">
        <f t="shared" si="0"/>
        <v>45285</v>
      </c>
      <c r="D7" s="51" t="s">
        <v>267</v>
      </c>
    </row>
    <row r="8" spans="2:4">
      <c r="B8" s="49"/>
      <c r="C8" s="50">
        <f t="shared" si="0"/>
        <v>0</v>
      </c>
      <c r="D8" s="51"/>
    </row>
    <row r="9" spans="2:4">
      <c r="B9" s="49"/>
      <c r="C9" s="50">
        <f t="shared" si="0"/>
        <v>0</v>
      </c>
      <c r="D9" s="51"/>
    </row>
    <row r="10" spans="2:4">
      <c r="B10" s="49"/>
      <c r="C10" s="50">
        <f t="shared" si="0"/>
        <v>0</v>
      </c>
      <c r="D10" s="51"/>
    </row>
    <row r="11" spans="2:4">
      <c r="B11" s="49"/>
      <c r="C11" s="50">
        <f t="shared" si="0"/>
        <v>0</v>
      </c>
      <c r="D11" s="51"/>
    </row>
    <row r="12" spans="2:4">
      <c r="B12" s="49"/>
      <c r="C12" s="50">
        <f t="shared" si="0"/>
        <v>0</v>
      </c>
      <c r="D12" s="51"/>
    </row>
    <row r="13" spans="2:4">
      <c r="B13" s="49"/>
      <c r="C13" s="50">
        <f t="shared" si="0"/>
        <v>0</v>
      </c>
      <c r="D13" s="51"/>
    </row>
    <row r="14" spans="2:4">
      <c r="B14" s="49"/>
      <c r="C14" s="50">
        <f t="shared" si="0"/>
        <v>0</v>
      </c>
      <c r="D14" s="51"/>
    </row>
    <row r="15" spans="2:4">
      <c r="B15" s="49"/>
      <c r="C15" s="50">
        <f t="shared" si="0"/>
        <v>0</v>
      </c>
      <c r="D15" s="51"/>
    </row>
    <row r="16" spans="2:4">
      <c r="B16" s="49"/>
      <c r="C16" s="50">
        <f t="shared" si="0"/>
        <v>0</v>
      </c>
      <c r="D16" s="51"/>
    </row>
    <row r="17" spans="2:4">
      <c r="B17" s="49"/>
      <c r="C17" s="50">
        <f t="shared" si="0"/>
        <v>0</v>
      </c>
      <c r="D17" s="51"/>
    </row>
    <row r="18" spans="2:4">
      <c r="B18" s="49"/>
      <c r="C18" s="50">
        <f t="shared" si="0"/>
        <v>0</v>
      </c>
      <c r="D18" s="51"/>
    </row>
    <row r="19" spans="2:4">
      <c r="B19" s="49"/>
      <c r="C19" s="50">
        <f t="shared" si="0"/>
        <v>0</v>
      </c>
      <c r="D19" s="51"/>
    </row>
    <row r="20" spans="2:4">
      <c r="B20" s="49"/>
      <c r="C20" s="50">
        <f t="shared" si="0"/>
        <v>0</v>
      </c>
      <c r="D20" s="51"/>
    </row>
    <row r="21" spans="2:4">
      <c r="B21" s="49"/>
      <c r="C21" s="50">
        <f t="shared" si="0"/>
        <v>0</v>
      </c>
      <c r="D21" s="51"/>
    </row>
    <row r="22" spans="2:4" ht="18.75" thickBot="1">
      <c r="B22" s="52"/>
      <c r="C22" s="53">
        <f t="shared" si="0"/>
        <v>0</v>
      </c>
      <c r="D22" s="54"/>
    </row>
  </sheetData>
  <sheetProtection algorithmName="SHA-512" hashValue="icoNRxRIj9fKw0fjuYfA+ON9W7fLrcHKJwv7JBszR83A44sRNAfyP/y4cVXaUJo9RJWhABz23tGodGtxn7C0EA==" saltValue="8Acyxuui99KZwqVwd6tCew==" spinCount="100000" sheet="1" objects="1" scenarios="1"/>
  <conditionalFormatting sqref="B2:D22">
    <cfRule type="expression" dxfId="318" priority="1">
      <formula>OR(WEEKDAY($B2)=1, WEEKDAY($B2)=7)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B8345-D975-45F1-AF1E-D67F085B8AF8}">
  <sheetPr codeName="Sheet3">
    <tabColor theme="0" tint="-0.34998626667073579"/>
  </sheetPr>
  <dimension ref="A1:AW83"/>
  <sheetViews>
    <sheetView showZeros="0" topLeftCell="N1" zoomScale="44" zoomScaleNormal="60" zoomScaleSheetLayoutView="41" workbookViewId="0">
      <pane ySplit="7" topLeftCell="A8" activePane="bottomLeft" state="frozen"/>
      <selection pane="bottomLeft" activeCell="AN24" sqref="AN24"/>
    </sheetView>
  </sheetViews>
  <sheetFormatPr defaultColWidth="11.875" defaultRowHeight="18"/>
  <cols>
    <col min="1" max="1" width="7.375" style="11" customWidth="1"/>
    <col min="2" max="2" width="13" style="11" customWidth="1"/>
    <col min="3" max="3" width="11.875" style="11"/>
    <col min="4" max="4" width="39.625" style="11" customWidth="1"/>
    <col min="5" max="5" width="16" style="11" bestFit="1" customWidth="1"/>
    <col min="6" max="7" width="7.5" style="11" customWidth="1"/>
    <col min="8" max="8" width="11.875" style="11"/>
    <col min="9" max="9" width="13" style="11" customWidth="1"/>
    <col min="10" max="10" width="11.875" style="11"/>
    <col min="11" max="11" width="39.625" style="11" customWidth="1"/>
    <col min="12" max="12" width="16" style="11" bestFit="1" customWidth="1"/>
    <col min="13" max="14" width="7.5" style="11" customWidth="1"/>
    <col min="15" max="15" width="11.875" style="11" customWidth="1"/>
    <col min="16" max="16" width="13" style="11" customWidth="1"/>
    <col min="17" max="17" width="11.875" style="11"/>
    <col min="18" max="18" width="39.625" style="11" customWidth="1"/>
    <col min="19" max="19" width="16" style="11" bestFit="1" customWidth="1"/>
    <col min="20" max="21" width="7.5" style="11" customWidth="1"/>
    <col min="22" max="22" width="11.875" style="11"/>
    <col min="23" max="23" width="13" style="11" customWidth="1"/>
    <col min="24" max="24" width="11.875" style="11"/>
    <col min="25" max="25" width="39.625" style="11" customWidth="1"/>
    <col min="26" max="26" width="16" style="11" bestFit="1" customWidth="1"/>
    <col min="27" max="28" width="7.5" style="11" customWidth="1"/>
    <col min="29" max="29" width="11.875" style="11"/>
    <col min="30" max="30" width="13" style="11" customWidth="1"/>
    <col min="31" max="31" width="11.875" style="11"/>
    <col min="32" max="32" width="39.625" style="11" customWidth="1"/>
    <col min="33" max="33" width="16" style="11" bestFit="1" customWidth="1"/>
    <col min="34" max="35" width="7.5" style="11" customWidth="1"/>
    <col min="36" max="36" width="11.875" style="11"/>
    <col min="37" max="37" width="8.625" style="11" customWidth="1"/>
    <col min="38" max="38" width="7.125" style="11" customWidth="1"/>
    <col min="39" max="39" width="12.375" style="11" customWidth="1"/>
    <col min="40" max="40" width="11.875" style="11"/>
    <col min="41" max="41" width="4.625" style="11" customWidth="1"/>
    <col min="42" max="42" width="6" style="11" customWidth="1"/>
    <col min="43" max="49" width="5.5" style="11" customWidth="1"/>
    <col min="50" max="16384" width="11.875" style="11"/>
  </cols>
  <sheetData>
    <row r="1" spans="1:49" ht="45" customHeight="1" thickBot="1">
      <c r="A1" s="8"/>
      <c r="B1" s="154">
        <f>DATE(AN2,AN5,1)</f>
        <v>45170</v>
      </c>
      <c r="C1" s="155"/>
      <c r="D1" s="155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10"/>
      <c r="AK1" s="8"/>
      <c r="AL1" s="64"/>
      <c r="AM1" s="156" t="s">
        <v>66</v>
      </c>
      <c r="AN1" s="156"/>
      <c r="AO1" s="156"/>
      <c r="AP1" s="12"/>
    </row>
    <row r="2" spans="1:49" ht="26.1" customHeight="1" thickBot="1">
      <c r="A2" s="8"/>
      <c r="B2" s="157" t="s">
        <v>67</v>
      </c>
      <c r="C2" s="156"/>
      <c r="D2" s="156"/>
      <c r="E2" s="156"/>
      <c r="F2" s="156"/>
      <c r="G2" s="156"/>
      <c r="H2" s="158"/>
      <c r="I2" s="157" t="s">
        <v>68</v>
      </c>
      <c r="J2" s="156"/>
      <c r="K2" s="156"/>
      <c r="L2" s="156"/>
      <c r="M2" s="156"/>
      <c r="N2" s="156"/>
      <c r="O2" s="158"/>
      <c r="P2" s="157" t="s">
        <v>69</v>
      </c>
      <c r="Q2" s="156"/>
      <c r="R2" s="156"/>
      <c r="S2" s="156"/>
      <c r="T2" s="156"/>
      <c r="U2" s="156"/>
      <c r="V2" s="158"/>
      <c r="W2" s="157" t="s">
        <v>70</v>
      </c>
      <c r="X2" s="156"/>
      <c r="Y2" s="156"/>
      <c r="Z2" s="156"/>
      <c r="AA2" s="156"/>
      <c r="AB2" s="156"/>
      <c r="AC2" s="158"/>
      <c r="AD2" s="157" t="s">
        <v>71</v>
      </c>
      <c r="AE2" s="156"/>
      <c r="AF2" s="156"/>
      <c r="AG2" s="156"/>
      <c r="AH2" s="156"/>
      <c r="AI2" s="156"/>
      <c r="AJ2" s="158"/>
      <c r="AK2" s="8"/>
      <c r="AL2" s="8"/>
      <c r="AM2" s="148" t="s">
        <v>72</v>
      </c>
      <c r="AN2" s="150">
        <v>2023</v>
      </c>
      <c r="AO2" s="13"/>
      <c r="AQ2" s="7"/>
      <c r="AR2" s="7"/>
      <c r="AS2" s="7"/>
      <c r="AT2" s="7"/>
      <c r="AU2" s="7"/>
      <c r="AV2" s="7"/>
      <c r="AW2" s="7"/>
    </row>
    <row r="3" spans="1:49" ht="18.75" thickBot="1">
      <c r="A3" s="8"/>
      <c r="B3" s="14" t="s">
        <v>73</v>
      </c>
      <c r="C3" s="15" t="s">
        <v>74</v>
      </c>
      <c r="D3" s="15" t="s">
        <v>75</v>
      </c>
      <c r="E3" s="15" t="s">
        <v>76</v>
      </c>
      <c r="F3" s="15" t="s">
        <v>77</v>
      </c>
      <c r="G3" s="15" t="s">
        <v>78</v>
      </c>
      <c r="H3" s="16" t="s">
        <v>79</v>
      </c>
      <c r="I3" s="14" t="s">
        <v>73</v>
      </c>
      <c r="J3" s="15" t="s">
        <v>74</v>
      </c>
      <c r="K3" s="15" t="s">
        <v>75</v>
      </c>
      <c r="L3" s="15" t="s">
        <v>76</v>
      </c>
      <c r="M3" s="15" t="s">
        <v>77</v>
      </c>
      <c r="N3" s="15" t="s">
        <v>78</v>
      </c>
      <c r="O3" s="16" t="s">
        <v>79</v>
      </c>
      <c r="P3" s="14" t="s">
        <v>73</v>
      </c>
      <c r="Q3" s="15" t="s">
        <v>74</v>
      </c>
      <c r="R3" s="15" t="s">
        <v>75</v>
      </c>
      <c r="S3" s="15" t="s">
        <v>76</v>
      </c>
      <c r="T3" s="15" t="s">
        <v>77</v>
      </c>
      <c r="U3" s="15" t="s">
        <v>78</v>
      </c>
      <c r="V3" s="16" t="s">
        <v>79</v>
      </c>
      <c r="W3" s="14" t="s">
        <v>73</v>
      </c>
      <c r="X3" s="15" t="s">
        <v>74</v>
      </c>
      <c r="Y3" s="15" t="s">
        <v>75</v>
      </c>
      <c r="Z3" s="15" t="s">
        <v>76</v>
      </c>
      <c r="AA3" s="15" t="s">
        <v>77</v>
      </c>
      <c r="AB3" s="15" t="s">
        <v>78</v>
      </c>
      <c r="AC3" s="16" t="s">
        <v>79</v>
      </c>
      <c r="AD3" s="14" t="s">
        <v>73</v>
      </c>
      <c r="AE3" s="15" t="s">
        <v>74</v>
      </c>
      <c r="AF3" s="15" t="s">
        <v>75</v>
      </c>
      <c r="AG3" s="15" t="s">
        <v>76</v>
      </c>
      <c r="AH3" s="15" t="s">
        <v>77</v>
      </c>
      <c r="AI3" s="15" t="s">
        <v>78</v>
      </c>
      <c r="AJ3" s="16" t="s">
        <v>79</v>
      </c>
      <c r="AK3" s="8"/>
      <c r="AL3" s="8"/>
      <c r="AM3" s="149"/>
      <c r="AN3" s="151"/>
      <c r="AO3" s="17"/>
      <c r="AQ3" s="7"/>
      <c r="AR3" s="7"/>
      <c r="AS3" s="7"/>
      <c r="AT3" s="7"/>
      <c r="AU3" s="7"/>
      <c r="AV3" s="7"/>
      <c r="AW3" s="7"/>
    </row>
    <row r="4" spans="1:49" ht="18.75" thickBot="1">
      <c r="A4" s="8"/>
      <c r="B4" s="18"/>
      <c r="C4" s="19"/>
      <c r="D4" s="19"/>
      <c r="E4" s="19"/>
      <c r="F4" s="19"/>
      <c r="G4" s="19"/>
      <c r="H4" s="20"/>
      <c r="I4" s="18"/>
      <c r="J4" s="19"/>
      <c r="K4" s="19"/>
      <c r="L4" s="19"/>
      <c r="M4" s="19"/>
      <c r="N4" s="19"/>
      <c r="O4" s="20"/>
      <c r="P4" s="18"/>
      <c r="Q4" s="19"/>
      <c r="R4" s="19"/>
      <c r="S4" s="19"/>
      <c r="T4" s="19"/>
      <c r="U4" s="19"/>
      <c r="V4" s="20"/>
      <c r="W4" s="18"/>
      <c r="X4" s="19"/>
      <c r="Y4" s="19"/>
      <c r="Z4" s="19"/>
      <c r="AA4" s="19"/>
      <c r="AB4" s="19"/>
      <c r="AC4" s="20"/>
      <c r="AD4" s="18"/>
      <c r="AE4" s="19"/>
      <c r="AF4" s="19"/>
      <c r="AG4" s="19"/>
      <c r="AH4" s="19"/>
      <c r="AI4" s="19"/>
      <c r="AJ4" s="20"/>
      <c r="AK4" s="8"/>
      <c r="AL4" s="8"/>
      <c r="AM4" s="21"/>
      <c r="AN4" s="21"/>
      <c r="AQ4" s="7"/>
      <c r="AR4" s="7"/>
      <c r="AS4" s="7"/>
      <c r="AT4" s="7"/>
      <c r="AU4" s="7"/>
      <c r="AV4" s="7"/>
      <c r="AW4" s="7"/>
    </row>
    <row r="5" spans="1:49" ht="19.5">
      <c r="A5" s="8"/>
      <c r="B5" s="22"/>
      <c r="C5" s="4" t="s">
        <v>80</v>
      </c>
      <c r="D5" s="4"/>
      <c r="E5" s="3"/>
      <c r="F5" s="23"/>
      <c r="G5" s="3"/>
      <c r="H5" s="24"/>
      <c r="I5" s="22"/>
      <c r="J5" s="5" t="s">
        <v>81</v>
      </c>
      <c r="K5" s="6"/>
      <c r="L5" s="25"/>
      <c r="M5" s="25"/>
      <c r="N5" s="25"/>
      <c r="O5" s="24"/>
      <c r="P5" s="22"/>
      <c r="Q5" s="5" t="s">
        <v>82</v>
      </c>
      <c r="R5" s="6"/>
      <c r="S5" s="25"/>
      <c r="T5" s="25"/>
      <c r="U5" s="25"/>
      <c r="V5" s="24"/>
      <c r="W5" s="22"/>
      <c r="X5" s="25"/>
      <c r="Y5" s="25"/>
      <c r="Z5" s="25"/>
      <c r="AA5" s="25"/>
      <c r="AB5" s="25"/>
      <c r="AC5" s="24"/>
      <c r="AD5" s="22"/>
      <c r="AE5" s="5" t="s">
        <v>83</v>
      </c>
      <c r="AF5" s="6"/>
      <c r="AG5" s="25"/>
      <c r="AH5" s="25"/>
      <c r="AI5" s="25"/>
      <c r="AJ5" s="24"/>
      <c r="AK5" s="8"/>
      <c r="AL5" s="8"/>
      <c r="AM5" s="148" t="s">
        <v>84</v>
      </c>
      <c r="AN5" s="150">
        <v>9</v>
      </c>
      <c r="AO5" s="13"/>
      <c r="AQ5" s="7"/>
      <c r="AR5" s="7"/>
      <c r="AS5" s="7"/>
      <c r="AT5" s="7"/>
      <c r="AU5" s="7"/>
      <c r="AV5" s="7"/>
      <c r="AW5" s="7"/>
    </row>
    <row r="6" spans="1:49" ht="18.75" thickBot="1">
      <c r="A6" s="8"/>
      <c r="B6" s="22"/>
      <c r="C6" s="4" t="s">
        <v>85</v>
      </c>
      <c r="D6" s="4"/>
      <c r="E6" s="3"/>
      <c r="F6" s="23"/>
      <c r="G6" s="3"/>
      <c r="H6" s="24"/>
      <c r="I6" s="22"/>
      <c r="J6" s="6" t="s">
        <v>86</v>
      </c>
      <c r="K6" s="6"/>
      <c r="L6" s="25"/>
      <c r="M6" s="25"/>
      <c r="N6" s="25"/>
      <c r="O6" s="24"/>
      <c r="P6" s="22"/>
      <c r="Q6" s="6" t="s">
        <v>87</v>
      </c>
      <c r="R6" s="6"/>
      <c r="S6" s="25"/>
      <c r="T6" s="25"/>
      <c r="U6" s="25"/>
      <c r="V6" s="24"/>
      <c r="W6" s="22"/>
      <c r="X6" s="25"/>
      <c r="Y6" s="25"/>
      <c r="Z6" s="25"/>
      <c r="AA6" s="25"/>
      <c r="AB6" s="25"/>
      <c r="AC6" s="24"/>
      <c r="AD6" s="22"/>
      <c r="AE6" s="6" t="s">
        <v>86</v>
      </c>
      <c r="AF6" s="6"/>
      <c r="AG6" s="25"/>
      <c r="AH6" s="25"/>
      <c r="AI6" s="25"/>
      <c r="AJ6" s="24"/>
      <c r="AK6" s="8"/>
      <c r="AL6" s="8"/>
      <c r="AM6" s="149"/>
      <c r="AN6" s="151"/>
      <c r="AO6" s="17"/>
      <c r="AQ6" s="7"/>
      <c r="AR6" s="7"/>
      <c r="AS6" s="7"/>
      <c r="AT6" s="7"/>
      <c r="AU6" s="7"/>
      <c r="AV6" s="7"/>
      <c r="AW6" s="7"/>
    </row>
    <row r="7" spans="1:49" ht="18.75" thickBot="1">
      <c r="A7" s="8"/>
      <c r="B7" s="26"/>
      <c r="C7" s="27"/>
      <c r="D7" s="27"/>
      <c r="E7" s="27"/>
      <c r="F7" s="27"/>
      <c r="G7" s="27"/>
      <c r="H7" s="28"/>
      <c r="I7" s="26"/>
      <c r="J7" s="27"/>
      <c r="K7" s="27"/>
      <c r="L7" s="27"/>
      <c r="M7" s="27"/>
      <c r="N7" s="27"/>
      <c r="O7" s="28"/>
      <c r="P7" s="26"/>
      <c r="Q7" s="27"/>
      <c r="R7" s="27"/>
      <c r="S7" s="27"/>
      <c r="T7" s="27"/>
      <c r="U7" s="27"/>
      <c r="V7" s="28"/>
      <c r="W7" s="26"/>
      <c r="X7" s="27"/>
      <c r="Y7" s="27"/>
      <c r="Z7" s="27"/>
      <c r="AA7" s="27"/>
      <c r="AB7" s="27"/>
      <c r="AC7" s="28"/>
      <c r="AD7" s="26"/>
      <c r="AE7" s="27"/>
      <c r="AF7" s="27"/>
      <c r="AG7" s="27"/>
      <c r="AH7" s="27"/>
      <c r="AI7" s="27"/>
      <c r="AJ7" s="28"/>
      <c r="AK7" s="8"/>
      <c r="AL7" s="8"/>
      <c r="AQ7" s="7"/>
      <c r="AR7" s="7"/>
      <c r="AS7" s="7"/>
      <c r="AT7" s="7"/>
      <c r="AU7" s="7"/>
      <c r="AV7" s="7"/>
      <c r="AW7" s="7"/>
    </row>
    <row r="8" spans="1:49" ht="21" customHeight="1">
      <c r="A8" s="8"/>
      <c r="B8" s="152" t="str">
        <f>IFERROR(VLOOKUP($H$8,HOLIDAYS!$B$2:$D$22,3,FALSE),"")</f>
        <v/>
      </c>
      <c r="C8" s="153"/>
      <c r="D8" s="153"/>
      <c r="E8" s="153"/>
      <c r="F8" s="153"/>
      <c r="G8" s="153"/>
      <c r="H8" s="29">
        <f>DATE(AN2,AN5,1)-WEEKDAY(DATE(AN2,AN5,1),2)+1</f>
        <v>45166</v>
      </c>
      <c r="I8" s="152" t="str">
        <f>IFERROR(VLOOKUP($O$8,HOLIDAYS!$B$2:$D$22,3,FALSE),"")</f>
        <v/>
      </c>
      <c r="J8" s="153"/>
      <c r="K8" s="153"/>
      <c r="L8" s="153"/>
      <c r="M8" s="153"/>
      <c r="N8" s="153"/>
      <c r="O8" s="30">
        <f>DATE(AN2,AN5,1)-WEEKDAY(DATE(AN2,AN5,1),2)+2</f>
        <v>45167</v>
      </c>
      <c r="P8" s="146" t="str">
        <f>IFERROR(VLOOKUP($V$8,HOLIDAYS!$B$2:$D$22,3,FALSE),"")</f>
        <v/>
      </c>
      <c r="Q8" s="147"/>
      <c r="R8" s="147"/>
      <c r="S8" s="147"/>
      <c r="T8" s="147"/>
      <c r="U8" s="147"/>
      <c r="V8" s="30">
        <f>DATE(AN2,AN5,1)-WEEKDAY(DATE(AN2,AN5,1),2)+3</f>
        <v>45168</v>
      </c>
      <c r="W8" s="146" t="str">
        <f>IFERROR(VLOOKUP($AC$8,HOLIDAYS!$B$2:$D$22,3,FALSE),"")</f>
        <v/>
      </c>
      <c r="X8" s="147"/>
      <c r="Y8" s="147"/>
      <c r="Z8" s="147"/>
      <c r="AA8" s="147"/>
      <c r="AB8" s="147"/>
      <c r="AC8" s="30">
        <f>DATE(AN2,AN5,1)-WEEKDAY(DATE(AN2,AN5,1),2)+4</f>
        <v>45169</v>
      </c>
      <c r="AD8" s="146" t="str">
        <f>IFERROR(VLOOKUP($AJ$8,HOLIDAYS!$B$2:$D$22,3,FALSE),"")</f>
        <v/>
      </c>
      <c r="AE8" s="147"/>
      <c r="AF8" s="147"/>
      <c r="AG8" s="147"/>
      <c r="AH8" s="147"/>
      <c r="AI8" s="147"/>
      <c r="AJ8" s="30">
        <f>DATE(AN2,AN5,1)-WEEKDAY(DATE(AN2,AN5,1),2)+5</f>
        <v>45170</v>
      </c>
      <c r="AK8" s="8"/>
      <c r="AL8" s="8"/>
    </row>
    <row r="9" spans="1:49">
      <c r="A9" s="8"/>
      <c r="B9" s="31"/>
      <c r="C9" s="32"/>
      <c r="D9" s="33"/>
      <c r="E9" s="32" t="s">
        <v>89</v>
      </c>
      <c r="F9" s="34"/>
      <c r="G9" s="34"/>
      <c r="H9" s="35"/>
      <c r="I9" s="36"/>
      <c r="J9" s="37"/>
      <c r="K9" s="38"/>
      <c r="L9" s="37" t="s">
        <v>89</v>
      </c>
      <c r="M9" s="39"/>
      <c r="N9" s="39"/>
      <c r="O9" s="40"/>
      <c r="P9" s="36"/>
      <c r="Q9" s="37"/>
      <c r="R9" s="38"/>
      <c r="S9" s="37" t="s">
        <v>89</v>
      </c>
      <c r="T9" s="39"/>
      <c r="U9" s="39"/>
      <c r="V9" s="40"/>
      <c r="W9" s="36"/>
      <c r="X9" s="37"/>
      <c r="Y9" s="38"/>
      <c r="Z9" s="37" t="s">
        <v>89</v>
      </c>
      <c r="AA9" s="39"/>
      <c r="AB9" s="39"/>
      <c r="AC9" s="40"/>
      <c r="AD9" s="36"/>
      <c r="AE9" s="37"/>
      <c r="AF9" s="38"/>
      <c r="AG9" s="37" t="s">
        <v>89</v>
      </c>
      <c r="AH9" s="39"/>
      <c r="AI9" s="39"/>
      <c r="AJ9" s="40"/>
      <c r="AK9" s="65"/>
      <c r="AL9" s="8"/>
      <c r="AM9" s="7"/>
      <c r="AN9" s="7"/>
      <c r="AO9" s="7"/>
      <c r="AP9" s="7"/>
      <c r="AQ9" s="7"/>
    </row>
    <row r="10" spans="1:49">
      <c r="A10" s="8"/>
      <c r="B10" s="36"/>
      <c r="C10" s="37"/>
      <c r="D10" s="38"/>
      <c r="E10" s="37"/>
      <c r="F10" s="39"/>
      <c r="G10" s="39"/>
      <c r="H10" s="40"/>
      <c r="I10" s="36"/>
      <c r="J10" s="37"/>
      <c r="K10" s="38"/>
      <c r="L10" s="37"/>
      <c r="M10" s="39"/>
      <c r="N10" s="39"/>
      <c r="O10" s="40"/>
      <c r="P10" s="36"/>
      <c r="Q10" s="37"/>
      <c r="R10" s="38"/>
      <c r="S10" s="37"/>
      <c r="T10" s="39"/>
      <c r="U10" s="39"/>
      <c r="V10" s="40"/>
      <c r="W10" s="36"/>
      <c r="X10" s="37"/>
      <c r="Y10" s="38"/>
      <c r="Z10" s="37"/>
      <c r="AA10" s="39"/>
      <c r="AB10" s="39"/>
      <c r="AC10" s="40"/>
      <c r="AD10" s="36"/>
      <c r="AE10" s="37"/>
      <c r="AF10" s="38"/>
      <c r="AG10" s="37"/>
      <c r="AH10" s="39"/>
      <c r="AI10" s="39"/>
      <c r="AJ10" s="40"/>
      <c r="AK10" s="65"/>
      <c r="AL10" s="8"/>
      <c r="AM10" s="7"/>
      <c r="AN10" s="7"/>
      <c r="AO10" s="7"/>
      <c r="AP10" s="7"/>
      <c r="AQ10" s="7"/>
    </row>
    <row r="11" spans="1:49">
      <c r="A11" s="8"/>
      <c r="B11" s="36"/>
      <c r="C11" s="37"/>
      <c r="D11" s="38"/>
      <c r="E11" s="37"/>
      <c r="F11" s="39"/>
      <c r="G11" s="39"/>
      <c r="H11" s="40"/>
      <c r="I11" s="36"/>
      <c r="J11" s="37"/>
      <c r="K11" s="38"/>
      <c r="L11" s="37"/>
      <c r="M11" s="39"/>
      <c r="N11" s="39"/>
      <c r="O11" s="40"/>
      <c r="P11" s="36"/>
      <c r="Q11" s="37"/>
      <c r="R11" s="38"/>
      <c r="S11" s="37"/>
      <c r="T11" s="39"/>
      <c r="U11" s="39"/>
      <c r="V11" s="40"/>
      <c r="W11" s="36"/>
      <c r="X11" s="37"/>
      <c r="Y11" s="38"/>
      <c r="Z11" s="37"/>
      <c r="AA11" s="39"/>
      <c r="AB11" s="39"/>
      <c r="AC11" s="40"/>
      <c r="AD11" s="36"/>
      <c r="AE11" s="37"/>
      <c r="AF11" s="38"/>
      <c r="AG11" s="37"/>
      <c r="AH11" s="39"/>
      <c r="AI11" s="39"/>
      <c r="AJ11" s="40"/>
      <c r="AK11" s="65"/>
      <c r="AL11" s="8"/>
      <c r="AM11" s="7"/>
      <c r="AN11" s="7"/>
      <c r="AO11" s="7"/>
      <c r="AP11" s="7"/>
      <c r="AQ11" s="7"/>
    </row>
    <row r="12" spans="1:49">
      <c r="A12" s="8"/>
      <c r="B12" s="36"/>
      <c r="C12" s="37"/>
      <c r="D12" s="38"/>
      <c r="E12" s="37"/>
      <c r="F12" s="39"/>
      <c r="G12" s="39"/>
      <c r="H12" s="40"/>
      <c r="I12" s="36"/>
      <c r="J12" s="37"/>
      <c r="K12" s="38"/>
      <c r="L12" s="37"/>
      <c r="M12" s="39"/>
      <c r="N12" s="39"/>
      <c r="O12" s="40"/>
      <c r="P12" s="36"/>
      <c r="Q12" s="37"/>
      <c r="R12" s="38"/>
      <c r="S12" s="37"/>
      <c r="T12" s="39"/>
      <c r="U12" s="39"/>
      <c r="V12" s="40"/>
      <c r="W12" s="36"/>
      <c r="X12" s="37"/>
      <c r="Y12" s="38"/>
      <c r="Z12" s="37"/>
      <c r="AA12" s="39"/>
      <c r="AB12" s="39"/>
      <c r="AC12" s="40"/>
      <c r="AD12" s="36"/>
      <c r="AE12" s="37"/>
      <c r="AF12" s="38"/>
      <c r="AG12" s="37"/>
      <c r="AH12" s="39"/>
      <c r="AI12" s="39"/>
      <c r="AJ12" s="40"/>
      <c r="AK12" s="65"/>
      <c r="AL12" s="8"/>
      <c r="AM12" s="7"/>
      <c r="AN12" s="7"/>
      <c r="AO12" s="7"/>
      <c r="AP12" s="7"/>
      <c r="AQ12" s="7"/>
    </row>
    <row r="13" spans="1:49">
      <c r="A13" s="8"/>
      <c r="B13" s="36"/>
      <c r="C13" s="37"/>
      <c r="D13" s="38"/>
      <c r="E13" s="37"/>
      <c r="F13" s="39"/>
      <c r="G13" s="39"/>
      <c r="H13" s="40"/>
      <c r="I13" s="36"/>
      <c r="J13" s="37"/>
      <c r="K13" s="38"/>
      <c r="L13" s="37"/>
      <c r="M13" s="39"/>
      <c r="N13" s="39"/>
      <c r="O13" s="40"/>
      <c r="P13" s="36"/>
      <c r="Q13" s="37"/>
      <c r="R13" s="38"/>
      <c r="S13" s="37"/>
      <c r="T13" s="39"/>
      <c r="U13" s="39"/>
      <c r="V13" s="40"/>
      <c r="W13" s="36"/>
      <c r="X13" s="37"/>
      <c r="Y13" s="38"/>
      <c r="Z13" s="37"/>
      <c r="AA13" s="39"/>
      <c r="AB13" s="39"/>
      <c r="AC13" s="40"/>
      <c r="AD13" s="36"/>
      <c r="AE13" s="37"/>
      <c r="AF13" s="38"/>
      <c r="AG13" s="37"/>
      <c r="AH13" s="39"/>
      <c r="AI13" s="39"/>
      <c r="AJ13" s="40"/>
      <c r="AK13" s="65"/>
      <c r="AL13" s="8"/>
      <c r="AM13" s="7"/>
      <c r="AN13" s="7"/>
      <c r="AO13" s="7"/>
      <c r="AP13" s="7"/>
      <c r="AQ13" s="7"/>
    </row>
    <row r="14" spans="1:49">
      <c r="A14" s="8"/>
      <c r="B14" s="36"/>
      <c r="C14" s="37"/>
      <c r="D14" s="38"/>
      <c r="E14" s="37" t="s">
        <v>108</v>
      </c>
      <c r="F14" s="39"/>
      <c r="G14" s="39"/>
      <c r="H14" s="40"/>
      <c r="I14" s="36"/>
      <c r="J14" s="37"/>
      <c r="K14" s="38"/>
      <c r="L14" s="37" t="s">
        <v>108</v>
      </c>
      <c r="M14" s="39"/>
      <c r="N14" s="39"/>
      <c r="O14" s="40"/>
      <c r="P14" s="36"/>
      <c r="Q14" s="37"/>
      <c r="R14" s="38"/>
      <c r="S14" s="37" t="s">
        <v>108</v>
      </c>
      <c r="T14" s="39"/>
      <c r="U14" s="39"/>
      <c r="V14" s="40"/>
      <c r="W14" s="36"/>
      <c r="X14" s="37"/>
      <c r="Y14" s="38"/>
      <c r="Z14" s="37" t="s">
        <v>108</v>
      </c>
      <c r="AA14" s="39"/>
      <c r="AB14" s="39"/>
      <c r="AC14" s="40"/>
      <c r="AD14" s="36"/>
      <c r="AE14" s="37"/>
      <c r="AF14" s="38"/>
      <c r="AG14" s="37" t="s">
        <v>108</v>
      </c>
      <c r="AH14" s="39"/>
      <c r="AI14" s="39"/>
      <c r="AJ14" s="40"/>
      <c r="AK14" s="65"/>
      <c r="AL14" s="8"/>
      <c r="AM14" s="7"/>
      <c r="AN14" s="7"/>
      <c r="AO14" s="7"/>
      <c r="AP14" s="7"/>
      <c r="AQ14" s="7"/>
    </row>
    <row r="15" spans="1:49">
      <c r="A15" s="8"/>
      <c r="B15" s="36"/>
      <c r="C15" s="37"/>
      <c r="D15" s="38"/>
      <c r="E15" s="37"/>
      <c r="F15" s="39"/>
      <c r="G15" s="39"/>
      <c r="H15" s="40"/>
      <c r="I15" s="36"/>
      <c r="J15" s="37"/>
      <c r="K15" s="38"/>
      <c r="L15" s="37"/>
      <c r="M15" s="39"/>
      <c r="N15" s="39"/>
      <c r="O15" s="40"/>
      <c r="P15" s="36"/>
      <c r="Q15" s="37"/>
      <c r="R15" s="38"/>
      <c r="S15" s="37"/>
      <c r="T15" s="39"/>
      <c r="U15" s="39"/>
      <c r="V15" s="40"/>
      <c r="W15" s="36"/>
      <c r="X15" s="37"/>
      <c r="Y15" s="38"/>
      <c r="Z15" s="37"/>
      <c r="AA15" s="39"/>
      <c r="AB15" s="39"/>
      <c r="AC15" s="40"/>
      <c r="AD15" s="36"/>
      <c r="AE15" s="37"/>
      <c r="AF15" s="38"/>
      <c r="AG15" s="37"/>
      <c r="AH15" s="39"/>
      <c r="AI15" s="39"/>
      <c r="AJ15" s="40"/>
      <c r="AK15" s="8"/>
      <c r="AL15" s="8"/>
    </row>
    <row r="16" spans="1:49">
      <c r="A16" s="8"/>
      <c r="B16" s="36"/>
      <c r="C16" s="37"/>
      <c r="D16" s="38"/>
      <c r="E16" s="37"/>
      <c r="F16" s="39"/>
      <c r="G16" s="39"/>
      <c r="H16" s="40"/>
      <c r="I16" s="36"/>
      <c r="J16" s="37"/>
      <c r="K16" s="38"/>
      <c r="L16" s="37"/>
      <c r="M16" s="39"/>
      <c r="N16" s="39"/>
      <c r="O16" s="40"/>
      <c r="P16" s="36"/>
      <c r="Q16" s="37"/>
      <c r="R16" s="38"/>
      <c r="S16" s="37"/>
      <c r="T16" s="39"/>
      <c r="U16" s="39"/>
      <c r="V16" s="40"/>
      <c r="W16" s="36"/>
      <c r="X16" s="37"/>
      <c r="Y16" s="38"/>
      <c r="Z16" s="37"/>
      <c r="AA16" s="39"/>
      <c r="AB16" s="39"/>
      <c r="AC16" s="40"/>
      <c r="AD16" s="36"/>
      <c r="AE16" s="37"/>
      <c r="AF16" s="38"/>
      <c r="AG16" s="37"/>
      <c r="AH16" s="39"/>
      <c r="AI16" s="39"/>
      <c r="AJ16" s="40"/>
      <c r="AK16" s="8"/>
      <c r="AL16" s="8"/>
    </row>
    <row r="17" spans="1:38">
      <c r="A17" s="8"/>
      <c r="B17" s="36"/>
      <c r="C17" s="37"/>
      <c r="D17" s="38"/>
      <c r="E17" s="37"/>
      <c r="F17" s="39"/>
      <c r="G17" s="39"/>
      <c r="H17" s="40"/>
      <c r="I17" s="36"/>
      <c r="J17" s="37"/>
      <c r="K17" s="38"/>
      <c r="L17" s="37"/>
      <c r="M17" s="39"/>
      <c r="N17" s="39"/>
      <c r="O17" s="40"/>
      <c r="P17" s="36"/>
      <c r="Q17" s="37"/>
      <c r="R17" s="38"/>
      <c r="S17" s="37"/>
      <c r="T17" s="39"/>
      <c r="U17" s="39"/>
      <c r="V17" s="40"/>
      <c r="W17" s="36"/>
      <c r="X17" s="37"/>
      <c r="Y17" s="38"/>
      <c r="Z17" s="37"/>
      <c r="AA17" s="39"/>
      <c r="AB17" s="39"/>
      <c r="AC17" s="40"/>
      <c r="AD17" s="36"/>
      <c r="AE17" s="37"/>
      <c r="AF17" s="38"/>
      <c r="AG17" s="37"/>
      <c r="AH17" s="39"/>
      <c r="AI17" s="39"/>
      <c r="AJ17" s="40"/>
      <c r="AK17" s="8"/>
      <c r="AL17" s="8"/>
    </row>
    <row r="18" spans="1:38">
      <c r="A18" s="8"/>
      <c r="B18" s="36"/>
      <c r="C18" s="37"/>
      <c r="D18" s="38"/>
      <c r="E18" s="37"/>
      <c r="F18" s="39"/>
      <c r="G18" s="39"/>
      <c r="H18" s="40"/>
      <c r="I18" s="36"/>
      <c r="J18" s="37"/>
      <c r="K18" s="38"/>
      <c r="L18" s="37"/>
      <c r="M18" s="39"/>
      <c r="N18" s="39"/>
      <c r="O18" s="40"/>
      <c r="P18" s="36"/>
      <c r="Q18" s="37"/>
      <c r="R18" s="38"/>
      <c r="S18" s="37"/>
      <c r="T18" s="39"/>
      <c r="U18" s="39"/>
      <c r="V18" s="40"/>
      <c r="W18" s="36"/>
      <c r="X18" s="37"/>
      <c r="Y18" s="38"/>
      <c r="Z18" s="37"/>
      <c r="AA18" s="39"/>
      <c r="AB18" s="39"/>
      <c r="AC18" s="40"/>
      <c r="AD18" s="36"/>
      <c r="AE18" s="37"/>
      <c r="AF18" s="38"/>
      <c r="AG18" s="37"/>
      <c r="AH18" s="39"/>
      <c r="AI18" s="39"/>
      <c r="AJ18" s="40"/>
      <c r="AK18" s="8"/>
      <c r="AL18" s="8"/>
    </row>
    <row r="19" spans="1:38" ht="18.75" thickBot="1">
      <c r="A19" s="8"/>
      <c r="B19" s="41"/>
      <c r="C19" s="42"/>
      <c r="D19" s="43"/>
      <c r="E19" s="42"/>
      <c r="F19" s="44"/>
      <c r="G19" s="44"/>
      <c r="H19" s="45"/>
      <c r="I19" s="41"/>
      <c r="J19" s="42"/>
      <c r="K19" s="43"/>
      <c r="L19" s="42"/>
      <c r="M19" s="44"/>
      <c r="N19" s="44"/>
      <c r="O19" s="45"/>
      <c r="P19" s="41"/>
      <c r="Q19" s="42"/>
      <c r="R19" s="43"/>
      <c r="S19" s="42"/>
      <c r="T19" s="44"/>
      <c r="U19" s="44"/>
      <c r="V19" s="45"/>
      <c r="W19" s="41"/>
      <c r="X19" s="42"/>
      <c r="Y19" s="43"/>
      <c r="Z19" s="42"/>
      <c r="AA19" s="44"/>
      <c r="AB19" s="44"/>
      <c r="AC19" s="45"/>
      <c r="AD19" s="41"/>
      <c r="AE19" s="42"/>
      <c r="AF19" s="43"/>
      <c r="AG19" s="42"/>
      <c r="AH19" s="44"/>
      <c r="AI19" s="44"/>
      <c r="AJ19" s="45"/>
      <c r="AK19" s="8"/>
      <c r="AL19" s="8"/>
    </row>
    <row r="20" spans="1:38" ht="18.75" customHeight="1">
      <c r="A20" s="8"/>
      <c r="B20" s="146" t="str">
        <f>IFERROR(VLOOKUP($H$20,HOLIDAYS!$B$2:$D$22,3,FALSE),"")</f>
        <v/>
      </c>
      <c r="C20" s="147"/>
      <c r="D20" s="147"/>
      <c r="E20" s="147"/>
      <c r="F20" s="147"/>
      <c r="G20" s="147"/>
      <c r="H20" s="30">
        <f>DATE(AN2,AN5,1)-WEEKDAY(DATE(AN2,AN5,1),2)+8</f>
        <v>45173</v>
      </c>
      <c r="I20" s="146" t="str">
        <f>IFERROR(VLOOKUP($O$20,HOLIDAYS!$B$2:$D$22,3,FALSE),"")</f>
        <v/>
      </c>
      <c r="J20" s="147"/>
      <c r="K20" s="147"/>
      <c r="L20" s="147"/>
      <c r="M20" s="147"/>
      <c r="N20" s="147"/>
      <c r="O20" s="30">
        <f>DATE(AN2,AN5,1)-WEEKDAY(DATE(AN2,AN5,1),2)+9</f>
        <v>45174</v>
      </c>
      <c r="P20" s="146" t="str">
        <f>IFERROR(VLOOKUP($V$20,HOLIDAYS!$B$2:$D$22,3,FALSE),"")</f>
        <v/>
      </c>
      <c r="Q20" s="147"/>
      <c r="R20" s="147"/>
      <c r="S20" s="147"/>
      <c r="T20" s="147"/>
      <c r="U20" s="147"/>
      <c r="V20" s="30">
        <f>DATE(AN2,AN5,1)-WEEKDAY(DATE(AN2,AN5,1),2)+10</f>
        <v>45175</v>
      </c>
      <c r="W20" s="146" t="str">
        <f>IFERROR(VLOOKUP($AC$20,HOLIDAYS!$B$2:$D$22,3,FALSE),"")</f>
        <v/>
      </c>
      <c r="X20" s="147"/>
      <c r="Y20" s="147"/>
      <c r="Z20" s="147"/>
      <c r="AA20" s="147"/>
      <c r="AB20" s="147"/>
      <c r="AC20" s="30">
        <f>DATE(AN2,AN5,1)-WEEKDAY(DATE(AN2,AN5,1),2)+11</f>
        <v>45176</v>
      </c>
      <c r="AD20" s="146" t="str">
        <f>IFERROR(VLOOKUP($AJ$20,HOLIDAYS!$B$2:$D$22,3,FALSE),"")</f>
        <v/>
      </c>
      <c r="AE20" s="147"/>
      <c r="AF20" s="147"/>
      <c r="AG20" s="147"/>
      <c r="AH20" s="147"/>
      <c r="AI20" s="147"/>
      <c r="AJ20" s="30">
        <f>DATE(AN2,AN5,1)-WEEKDAY(DATE(AN2,AN5,1),2)+12</f>
        <v>45177</v>
      </c>
      <c r="AK20" s="8"/>
      <c r="AL20" s="8"/>
    </row>
    <row r="21" spans="1:38">
      <c r="A21" s="8"/>
      <c r="B21" s="36"/>
      <c r="C21" s="37"/>
      <c r="D21" s="38"/>
      <c r="E21" s="37" t="s">
        <v>89</v>
      </c>
      <c r="F21" s="39"/>
      <c r="G21" s="39"/>
      <c r="H21" s="40"/>
      <c r="I21" s="36"/>
      <c r="J21" s="37"/>
      <c r="K21" s="38"/>
      <c r="L21" s="37" t="s">
        <v>89</v>
      </c>
      <c r="M21" s="39"/>
      <c r="N21" s="39"/>
      <c r="O21" s="40"/>
      <c r="P21" s="36"/>
      <c r="Q21" s="37"/>
      <c r="R21" s="38"/>
      <c r="S21" s="37" t="s">
        <v>89</v>
      </c>
      <c r="T21" s="39"/>
      <c r="U21" s="39"/>
      <c r="V21" s="40"/>
      <c r="W21" s="36"/>
      <c r="X21" s="37"/>
      <c r="Y21" s="38"/>
      <c r="Z21" s="37" t="s">
        <v>89</v>
      </c>
      <c r="AA21" s="39"/>
      <c r="AB21" s="39"/>
      <c r="AC21" s="40"/>
      <c r="AD21" s="36"/>
      <c r="AE21" s="37"/>
      <c r="AF21" s="38"/>
      <c r="AG21" s="37" t="s">
        <v>89</v>
      </c>
      <c r="AH21" s="39"/>
      <c r="AI21" s="39"/>
      <c r="AJ21" s="40"/>
      <c r="AK21" s="8"/>
      <c r="AL21" s="8"/>
    </row>
    <row r="22" spans="1:38">
      <c r="A22" s="8"/>
      <c r="B22" s="36"/>
      <c r="C22" s="37"/>
      <c r="D22" s="38"/>
      <c r="E22" s="37"/>
      <c r="F22" s="39"/>
      <c r="G22" s="39"/>
      <c r="H22" s="40"/>
      <c r="I22" s="36"/>
      <c r="J22" s="37"/>
      <c r="K22" s="38"/>
      <c r="L22" s="37"/>
      <c r="M22" s="39"/>
      <c r="N22" s="39"/>
      <c r="O22" s="40"/>
      <c r="P22" s="36"/>
      <c r="Q22" s="37"/>
      <c r="R22" s="38"/>
      <c r="S22" s="37"/>
      <c r="T22" s="39"/>
      <c r="U22" s="39"/>
      <c r="V22" s="40"/>
      <c r="W22" s="36"/>
      <c r="X22" s="37"/>
      <c r="Y22" s="38"/>
      <c r="Z22" s="37"/>
      <c r="AA22" s="39"/>
      <c r="AB22" s="39"/>
      <c r="AC22" s="40"/>
      <c r="AD22" s="36"/>
      <c r="AE22" s="37"/>
      <c r="AF22" s="38"/>
      <c r="AG22" s="37"/>
      <c r="AH22" s="39"/>
      <c r="AI22" s="39"/>
      <c r="AJ22" s="40"/>
      <c r="AK22" s="8"/>
      <c r="AL22" s="8"/>
    </row>
    <row r="23" spans="1:38">
      <c r="A23" s="8"/>
      <c r="B23" s="36"/>
      <c r="C23" s="37"/>
      <c r="D23" s="38"/>
      <c r="E23" s="37"/>
      <c r="F23" s="39"/>
      <c r="G23" s="39"/>
      <c r="H23" s="40"/>
      <c r="I23" s="36"/>
      <c r="J23" s="37"/>
      <c r="K23" s="38"/>
      <c r="L23" s="37"/>
      <c r="M23" s="39"/>
      <c r="N23" s="39"/>
      <c r="O23" s="40"/>
      <c r="P23" s="36"/>
      <c r="Q23" s="37"/>
      <c r="R23" s="38"/>
      <c r="S23" s="37"/>
      <c r="T23" s="39"/>
      <c r="U23" s="39"/>
      <c r="V23" s="40"/>
      <c r="W23" s="36"/>
      <c r="X23" s="37"/>
      <c r="Y23" s="38"/>
      <c r="Z23" s="37"/>
      <c r="AA23" s="39"/>
      <c r="AB23" s="39"/>
      <c r="AC23" s="40"/>
      <c r="AD23" s="36"/>
      <c r="AE23" s="37"/>
      <c r="AF23" s="38"/>
      <c r="AG23" s="37"/>
      <c r="AH23" s="39"/>
      <c r="AI23" s="39"/>
      <c r="AJ23" s="40"/>
      <c r="AK23" s="8"/>
      <c r="AL23" s="8"/>
    </row>
    <row r="24" spans="1:38">
      <c r="A24" s="8"/>
      <c r="B24" s="36"/>
      <c r="C24" s="37"/>
      <c r="D24" s="38"/>
      <c r="E24" s="37"/>
      <c r="F24" s="39"/>
      <c r="G24" s="39"/>
      <c r="H24" s="40"/>
      <c r="I24" s="36"/>
      <c r="J24" s="37"/>
      <c r="K24" s="38"/>
      <c r="L24" s="37"/>
      <c r="M24" s="39"/>
      <c r="N24" s="39"/>
      <c r="O24" s="40"/>
      <c r="P24" s="36"/>
      <c r="Q24" s="37"/>
      <c r="R24" s="38"/>
      <c r="S24" s="37"/>
      <c r="T24" s="39"/>
      <c r="U24" s="39"/>
      <c r="V24" s="40"/>
      <c r="W24" s="36"/>
      <c r="X24" s="37"/>
      <c r="Y24" s="38"/>
      <c r="Z24" s="37"/>
      <c r="AA24" s="39"/>
      <c r="AB24" s="39"/>
      <c r="AC24" s="40"/>
      <c r="AD24" s="36"/>
      <c r="AE24" s="37"/>
      <c r="AF24" s="38"/>
      <c r="AG24" s="37"/>
      <c r="AH24" s="39"/>
      <c r="AI24" s="39"/>
      <c r="AJ24" s="40"/>
      <c r="AK24" s="8"/>
      <c r="AL24" s="8"/>
    </row>
    <row r="25" spans="1:38">
      <c r="A25" s="8"/>
      <c r="B25" s="36"/>
      <c r="C25" s="37"/>
      <c r="D25" s="38"/>
      <c r="E25" s="37"/>
      <c r="F25" s="39"/>
      <c r="G25" s="39"/>
      <c r="H25" s="40"/>
      <c r="I25" s="36"/>
      <c r="J25" s="37"/>
      <c r="K25" s="38"/>
      <c r="L25" s="37"/>
      <c r="M25" s="39"/>
      <c r="N25" s="39"/>
      <c r="O25" s="40"/>
      <c r="P25" s="36"/>
      <c r="Q25" s="37"/>
      <c r="R25" s="38"/>
      <c r="S25" s="37"/>
      <c r="T25" s="39"/>
      <c r="U25" s="39"/>
      <c r="V25" s="40"/>
      <c r="W25" s="36"/>
      <c r="X25" s="37"/>
      <c r="Y25" s="38"/>
      <c r="Z25" s="37"/>
      <c r="AA25" s="39"/>
      <c r="AB25" s="39"/>
      <c r="AC25" s="40"/>
      <c r="AD25" s="36"/>
      <c r="AE25" s="37"/>
      <c r="AF25" s="38"/>
      <c r="AG25" s="37"/>
      <c r="AH25" s="39"/>
      <c r="AI25" s="39"/>
      <c r="AJ25" s="40"/>
      <c r="AK25" s="8"/>
      <c r="AL25" s="8"/>
    </row>
    <row r="26" spans="1:38">
      <c r="A26" s="8"/>
      <c r="B26" s="36"/>
      <c r="C26" s="37"/>
      <c r="D26" s="38"/>
      <c r="E26" s="37" t="s">
        <v>108</v>
      </c>
      <c r="F26" s="39"/>
      <c r="G26" s="39"/>
      <c r="H26" s="40"/>
      <c r="I26" s="36"/>
      <c r="J26" s="37"/>
      <c r="K26" s="38"/>
      <c r="L26" s="37" t="s">
        <v>108</v>
      </c>
      <c r="M26" s="39"/>
      <c r="N26" s="39"/>
      <c r="O26" s="40"/>
      <c r="P26" s="36"/>
      <c r="Q26" s="37"/>
      <c r="R26" s="38"/>
      <c r="S26" s="37" t="s">
        <v>108</v>
      </c>
      <c r="T26" s="39"/>
      <c r="U26" s="39"/>
      <c r="V26" s="40"/>
      <c r="W26" s="36"/>
      <c r="X26" s="37"/>
      <c r="Y26" s="38"/>
      <c r="Z26" s="37" t="s">
        <v>108</v>
      </c>
      <c r="AA26" s="39"/>
      <c r="AB26" s="39"/>
      <c r="AC26" s="40"/>
      <c r="AD26" s="36"/>
      <c r="AE26" s="37"/>
      <c r="AF26" s="38"/>
      <c r="AG26" s="37" t="s">
        <v>108</v>
      </c>
      <c r="AH26" s="39"/>
      <c r="AI26" s="39"/>
      <c r="AJ26" s="40"/>
      <c r="AK26" s="8"/>
      <c r="AL26" s="8"/>
    </row>
    <row r="27" spans="1:38">
      <c r="A27" s="8"/>
      <c r="B27" s="36"/>
      <c r="C27" s="37"/>
      <c r="D27" s="38"/>
      <c r="E27" s="37"/>
      <c r="F27" s="39"/>
      <c r="G27" s="39"/>
      <c r="H27" s="40"/>
      <c r="I27" s="36"/>
      <c r="J27" s="37"/>
      <c r="K27" s="38"/>
      <c r="L27" s="37"/>
      <c r="M27" s="39"/>
      <c r="N27" s="39"/>
      <c r="O27" s="40"/>
      <c r="P27" s="36"/>
      <c r="Q27" s="37"/>
      <c r="R27" s="38"/>
      <c r="S27" s="37"/>
      <c r="T27" s="39"/>
      <c r="U27" s="39"/>
      <c r="V27" s="40"/>
      <c r="W27" s="36"/>
      <c r="X27" s="37"/>
      <c r="Y27" s="38"/>
      <c r="Z27" s="37"/>
      <c r="AA27" s="39"/>
      <c r="AB27" s="39"/>
      <c r="AC27" s="40"/>
      <c r="AD27" s="36"/>
      <c r="AE27" s="37"/>
      <c r="AF27" s="38"/>
      <c r="AG27" s="37"/>
      <c r="AH27" s="39"/>
      <c r="AI27" s="39"/>
      <c r="AJ27" s="40"/>
      <c r="AK27" s="8"/>
      <c r="AL27" s="8"/>
    </row>
    <row r="28" spans="1:38">
      <c r="A28" s="8"/>
      <c r="B28" s="36"/>
      <c r="C28" s="37"/>
      <c r="D28" s="38"/>
      <c r="E28" s="37"/>
      <c r="F28" s="39"/>
      <c r="G28" s="39"/>
      <c r="H28" s="40"/>
      <c r="I28" s="36"/>
      <c r="J28" s="37"/>
      <c r="K28" s="38"/>
      <c r="L28" s="37"/>
      <c r="M28" s="39"/>
      <c r="N28" s="39"/>
      <c r="O28" s="40"/>
      <c r="P28" s="36"/>
      <c r="Q28" s="37"/>
      <c r="R28" s="38"/>
      <c r="S28" s="37"/>
      <c r="T28" s="39"/>
      <c r="U28" s="39"/>
      <c r="V28" s="40"/>
      <c r="W28" s="36"/>
      <c r="X28" s="37"/>
      <c r="Y28" s="38"/>
      <c r="Z28" s="37"/>
      <c r="AA28" s="39"/>
      <c r="AB28" s="39"/>
      <c r="AC28" s="40"/>
      <c r="AD28" s="36"/>
      <c r="AE28" s="37"/>
      <c r="AF28" s="38"/>
      <c r="AG28" s="37"/>
      <c r="AH28" s="39"/>
      <c r="AI28" s="39"/>
      <c r="AJ28" s="40"/>
      <c r="AK28" s="8"/>
      <c r="AL28" s="8"/>
    </row>
    <row r="29" spans="1:38">
      <c r="A29" s="8"/>
      <c r="B29" s="36"/>
      <c r="C29" s="37"/>
      <c r="D29" s="38"/>
      <c r="E29" s="37"/>
      <c r="F29" s="39"/>
      <c r="G29" s="39"/>
      <c r="H29" s="40"/>
      <c r="I29" s="36"/>
      <c r="J29" s="37"/>
      <c r="K29" s="38"/>
      <c r="L29" s="37"/>
      <c r="M29" s="39"/>
      <c r="N29" s="39"/>
      <c r="O29" s="40"/>
      <c r="P29" s="36"/>
      <c r="Q29" s="37"/>
      <c r="R29" s="38"/>
      <c r="S29" s="37"/>
      <c r="T29" s="39"/>
      <c r="U29" s="39"/>
      <c r="V29" s="40"/>
      <c r="W29" s="36"/>
      <c r="X29" s="37"/>
      <c r="Y29" s="38"/>
      <c r="Z29" s="37"/>
      <c r="AA29" s="39"/>
      <c r="AB29" s="39"/>
      <c r="AC29" s="40"/>
      <c r="AD29" s="36"/>
      <c r="AE29" s="37"/>
      <c r="AF29" s="38"/>
      <c r="AG29" s="37"/>
      <c r="AH29" s="39"/>
      <c r="AI29" s="39"/>
      <c r="AJ29" s="40"/>
      <c r="AK29" s="8"/>
      <c r="AL29" s="8"/>
    </row>
    <row r="30" spans="1:38">
      <c r="A30" s="8"/>
      <c r="B30" s="36"/>
      <c r="C30" s="37"/>
      <c r="D30" s="38"/>
      <c r="E30" s="37"/>
      <c r="F30" s="39"/>
      <c r="G30" s="39"/>
      <c r="H30" s="40"/>
      <c r="I30" s="36"/>
      <c r="J30" s="37"/>
      <c r="K30" s="38"/>
      <c r="L30" s="37"/>
      <c r="M30" s="39"/>
      <c r="N30" s="39"/>
      <c r="O30" s="40"/>
      <c r="P30" s="36"/>
      <c r="Q30" s="37"/>
      <c r="R30" s="38"/>
      <c r="S30" s="37"/>
      <c r="T30" s="39"/>
      <c r="U30" s="39"/>
      <c r="V30" s="40"/>
      <c r="W30" s="36"/>
      <c r="X30" s="37"/>
      <c r="Y30" s="38"/>
      <c r="Z30" s="37"/>
      <c r="AA30" s="39"/>
      <c r="AB30" s="39"/>
      <c r="AC30" s="40"/>
      <c r="AD30" s="36"/>
      <c r="AE30" s="37"/>
      <c r="AF30" s="38"/>
      <c r="AG30" s="37"/>
      <c r="AH30" s="39"/>
      <c r="AI30" s="39"/>
      <c r="AJ30" s="40"/>
      <c r="AK30" s="8"/>
      <c r="AL30" s="8"/>
    </row>
    <row r="31" spans="1:38" ht="18.75" thickBot="1">
      <c r="A31" s="8"/>
      <c r="B31" s="41"/>
      <c r="C31" s="42"/>
      <c r="D31" s="43"/>
      <c r="E31" s="42"/>
      <c r="F31" s="44"/>
      <c r="G31" s="44"/>
      <c r="H31" s="45"/>
      <c r="I31" s="41"/>
      <c r="J31" s="42"/>
      <c r="K31" s="43"/>
      <c r="L31" s="42"/>
      <c r="M31" s="44"/>
      <c r="N31" s="44"/>
      <c r="O31" s="45"/>
      <c r="P31" s="41"/>
      <c r="Q31" s="42"/>
      <c r="R31" s="43"/>
      <c r="S31" s="42"/>
      <c r="T31" s="44"/>
      <c r="U31" s="44"/>
      <c r="V31" s="45"/>
      <c r="W31" s="41"/>
      <c r="X31" s="42"/>
      <c r="Y31" s="43"/>
      <c r="Z31" s="42"/>
      <c r="AA31" s="44"/>
      <c r="AB31" s="44"/>
      <c r="AC31" s="45"/>
      <c r="AD31" s="41"/>
      <c r="AE31" s="42"/>
      <c r="AF31" s="43"/>
      <c r="AG31" s="42"/>
      <c r="AH31" s="44"/>
      <c r="AI31" s="44"/>
      <c r="AJ31" s="45"/>
      <c r="AK31" s="8"/>
      <c r="AL31" s="8"/>
    </row>
    <row r="32" spans="1:38">
      <c r="A32" s="8"/>
      <c r="B32" s="146" t="str">
        <f>IFERROR(VLOOKUP($H$32,HOLIDAYS!$B$2:$D$22,3,FALSE),"")</f>
        <v/>
      </c>
      <c r="C32" s="147"/>
      <c r="D32" s="147"/>
      <c r="E32" s="147"/>
      <c r="F32" s="147"/>
      <c r="G32" s="147"/>
      <c r="H32" s="30">
        <f>DATE(AN2,AN5,1)-WEEKDAY(DATE(AN2,AN5,1),2)+15</f>
        <v>45180</v>
      </c>
      <c r="I32" s="146" t="str">
        <f>IFERROR(VLOOKUP($O$32,HOLIDAYS!$B$2:$D$22,3,FALSE),"")</f>
        <v/>
      </c>
      <c r="J32" s="147"/>
      <c r="K32" s="147"/>
      <c r="L32" s="147"/>
      <c r="M32" s="147"/>
      <c r="N32" s="147"/>
      <c r="O32" s="30">
        <f>DATE(AN2,AN5,1)-WEEKDAY(DATE(AN2,AN5,1),2)+16</f>
        <v>45181</v>
      </c>
      <c r="P32" s="146" t="str">
        <f>IFERROR(VLOOKUP($V$32,HOLIDAYS!$B$2:$D$22,3,FALSE),"")</f>
        <v/>
      </c>
      <c r="Q32" s="147"/>
      <c r="R32" s="147"/>
      <c r="S32" s="147"/>
      <c r="T32" s="147"/>
      <c r="U32" s="147"/>
      <c r="V32" s="30">
        <f>DATE(AN2,AN5,1)-WEEKDAY(DATE(AN2,AN5,1),2)+17</f>
        <v>45182</v>
      </c>
      <c r="W32" s="146" t="str">
        <f>IFERROR(VLOOKUP($AC$32,HOLIDAYS!$B$2:$D$22,3,FALSE),"")</f>
        <v/>
      </c>
      <c r="X32" s="147"/>
      <c r="Y32" s="147"/>
      <c r="Z32" s="147"/>
      <c r="AA32" s="147"/>
      <c r="AB32" s="147"/>
      <c r="AC32" s="30">
        <f>DATE(AN2,AN5,1)-WEEKDAY(DATE(AN2,AN5,1),2)+18</f>
        <v>45183</v>
      </c>
      <c r="AD32" s="146" t="str">
        <f>IFERROR(VLOOKUP($AJ$32,HOLIDAYS!$B$2:$D$22,3,FALSE),"")</f>
        <v/>
      </c>
      <c r="AE32" s="147"/>
      <c r="AF32" s="147"/>
      <c r="AG32" s="147"/>
      <c r="AH32" s="147"/>
      <c r="AI32" s="147"/>
      <c r="AJ32" s="30">
        <f>DATE(AN2,AN5,1)-WEEKDAY(DATE(AN2,AN5,1),2)+19</f>
        <v>45184</v>
      </c>
      <c r="AK32" s="8"/>
      <c r="AL32" s="8"/>
    </row>
    <row r="33" spans="1:38">
      <c r="A33" s="8"/>
      <c r="B33" s="36"/>
      <c r="C33" s="37"/>
      <c r="D33" s="38"/>
      <c r="E33" s="37" t="s">
        <v>89</v>
      </c>
      <c r="F33" s="39"/>
      <c r="G33" s="39"/>
      <c r="H33" s="40"/>
      <c r="I33" s="36"/>
      <c r="J33" s="37"/>
      <c r="K33" s="38"/>
      <c r="L33" s="37" t="s">
        <v>89</v>
      </c>
      <c r="M33" s="39"/>
      <c r="N33" s="39"/>
      <c r="O33" s="40"/>
      <c r="P33" s="36"/>
      <c r="Q33" s="37"/>
      <c r="R33" s="38"/>
      <c r="S33" s="37" t="s">
        <v>89</v>
      </c>
      <c r="T33" s="39"/>
      <c r="U33" s="39"/>
      <c r="V33" s="40"/>
      <c r="W33" s="36"/>
      <c r="X33" s="37"/>
      <c r="Y33" s="38"/>
      <c r="Z33" s="37" t="s">
        <v>89</v>
      </c>
      <c r="AA33" s="39"/>
      <c r="AB33" s="39"/>
      <c r="AC33" s="40"/>
      <c r="AD33" s="36"/>
      <c r="AE33" s="37"/>
      <c r="AF33" s="38"/>
      <c r="AG33" s="37" t="s">
        <v>89</v>
      </c>
      <c r="AH33" s="39"/>
      <c r="AI33" s="39"/>
      <c r="AJ33" s="40"/>
      <c r="AK33" s="8"/>
      <c r="AL33" s="8"/>
    </row>
    <row r="34" spans="1:38">
      <c r="A34" s="8"/>
      <c r="B34" s="36"/>
      <c r="C34" s="37"/>
      <c r="D34" s="38"/>
      <c r="E34" s="37"/>
      <c r="F34" s="39"/>
      <c r="G34" s="39"/>
      <c r="H34" s="40"/>
      <c r="I34" s="36"/>
      <c r="J34" s="37"/>
      <c r="K34" s="38"/>
      <c r="L34" s="37"/>
      <c r="M34" s="39"/>
      <c r="N34" s="39"/>
      <c r="O34" s="40"/>
      <c r="P34" s="36"/>
      <c r="Q34" s="37"/>
      <c r="R34" s="38"/>
      <c r="S34" s="37"/>
      <c r="T34" s="39"/>
      <c r="U34" s="39"/>
      <c r="V34" s="40"/>
      <c r="W34" s="36"/>
      <c r="X34" s="37"/>
      <c r="Y34" s="38"/>
      <c r="Z34" s="37"/>
      <c r="AA34" s="39"/>
      <c r="AB34" s="39"/>
      <c r="AC34" s="40"/>
      <c r="AD34" s="36"/>
      <c r="AE34" s="37"/>
      <c r="AF34" s="38"/>
      <c r="AG34" s="37"/>
      <c r="AH34" s="39"/>
      <c r="AI34" s="39"/>
      <c r="AJ34" s="40"/>
      <c r="AK34" s="8"/>
      <c r="AL34" s="8"/>
    </row>
    <row r="35" spans="1:38">
      <c r="A35" s="8"/>
      <c r="B35" s="36"/>
      <c r="C35" s="37"/>
      <c r="D35" s="38"/>
      <c r="E35" s="37"/>
      <c r="F35" s="39"/>
      <c r="G35" s="39"/>
      <c r="H35" s="40"/>
      <c r="I35" s="36"/>
      <c r="J35" s="37"/>
      <c r="K35" s="38"/>
      <c r="L35" s="37"/>
      <c r="M35" s="39"/>
      <c r="N35" s="39"/>
      <c r="O35" s="40"/>
      <c r="P35" s="36"/>
      <c r="Q35" s="37"/>
      <c r="R35" s="38"/>
      <c r="S35" s="37"/>
      <c r="T35" s="39"/>
      <c r="U35" s="39"/>
      <c r="V35" s="40"/>
      <c r="W35" s="36"/>
      <c r="X35" s="37"/>
      <c r="Y35" s="38"/>
      <c r="Z35" s="37"/>
      <c r="AA35" s="39"/>
      <c r="AB35" s="39"/>
      <c r="AC35" s="40"/>
      <c r="AD35" s="36"/>
      <c r="AE35" s="37"/>
      <c r="AF35" s="38"/>
      <c r="AG35" s="37"/>
      <c r="AH35" s="39"/>
      <c r="AI35" s="39"/>
      <c r="AJ35" s="40"/>
      <c r="AK35" s="8"/>
      <c r="AL35" s="8"/>
    </row>
    <row r="36" spans="1:38">
      <c r="A36" s="8"/>
      <c r="B36" s="36"/>
      <c r="C36" s="37"/>
      <c r="D36" s="38"/>
      <c r="E36" s="37"/>
      <c r="F36" s="39"/>
      <c r="G36" s="39"/>
      <c r="H36" s="40"/>
      <c r="I36" s="36"/>
      <c r="J36" s="37"/>
      <c r="K36" s="38"/>
      <c r="L36" s="37"/>
      <c r="M36" s="39"/>
      <c r="N36" s="39"/>
      <c r="O36" s="40"/>
      <c r="P36" s="36"/>
      <c r="Q36" s="37"/>
      <c r="R36" s="38"/>
      <c r="S36" s="37"/>
      <c r="T36" s="39"/>
      <c r="U36" s="39"/>
      <c r="V36" s="40"/>
      <c r="W36" s="36"/>
      <c r="X36" s="37"/>
      <c r="Y36" s="38"/>
      <c r="Z36" s="37"/>
      <c r="AA36" s="39"/>
      <c r="AB36" s="39"/>
      <c r="AC36" s="40"/>
      <c r="AD36" s="36"/>
      <c r="AE36" s="37"/>
      <c r="AF36" s="38"/>
      <c r="AG36" s="37"/>
      <c r="AH36" s="39"/>
      <c r="AI36" s="39"/>
      <c r="AJ36" s="40"/>
      <c r="AK36" s="8"/>
      <c r="AL36" s="8"/>
    </row>
    <row r="37" spans="1:38">
      <c r="A37" s="8"/>
      <c r="B37" s="36"/>
      <c r="C37" s="37"/>
      <c r="D37" s="38"/>
      <c r="E37" s="37"/>
      <c r="F37" s="39"/>
      <c r="G37" s="39"/>
      <c r="H37" s="40"/>
      <c r="I37" s="36"/>
      <c r="J37" s="37"/>
      <c r="K37" s="38"/>
      <c r="L37" s="37"/>
      <c r="M37" s="39"/>
      <c r="N37" s="39"/>
      <c r="O37" s="40"/>
      <c r="P37" s="36"/>
      <c r="Q37" s="37"/>
      <c r="R37" s="38"/>
      <c r="S37" s="37"/>
      <c r="T37" s="39"/>
      <c r="U37" s="39"/>
      <c r="V37" s="40"/>
      <c r="W37" s="36"/>
      <c r="X37" s="37"/>
      <c r="Y37" s="38"/>
      <c r="Z37" s="37"/>
      <c r="AA37" s="39"/>
      <c r="AB37" s="39"/>
      <c r="AC37" s="40"/>
      <c r="AD37" s="36"/>
      <c r="AE37" s="37"/>
      <c r="AF37" s="38"/>
      <c r="AG37" s="37"/>
      <c r="AH37" s="39"/>
      <c r="AI37" s="39"/>
      <c r="AJ37" s="40"/>
      <c r="AK37" s="8"/>
      <c r="AL37" s="8"/>
    </row>
    <row r="38" spans="1:38">
      <c r="A38" s="8"/>
      <c r="B38" s="36"/>
      <c r="C38" s="37"/>
      <c r="D38" s="38"/>
      <c r="E38" s="37" t="s">
        <v>108</v>
      </c>
      <c r="F38" s="39"/>
      <c r="G38" s="39"/>
      <c r="H38" s="40"/>
      <c r="I38" s="36"/>
      <c r="J38" s="37"/>
      <c r="K38" s="38"/>
      <c r="L38" s="37" t="s">
        <v>108</v>
      </c>
      <c r="M38" s="39"/>
      <c r="N38" s="39"/>
      <c r="O38" s="40"/>
      <c r="P38" s="36"/>
      <c r="Q38" s="37"/>
      <c r="R38" s="38"/>
      <c r="S38" s="37" t="s">
        <v>108</v>
      </c>
      <c r="T38" s="39"/>
      <c r="U38" s="39"/>
      <c r="V38" s="40"/>
      <c r="W38" s="36"/>
      <c r="X38" s="37"/>
      <c r="Y38" s="38"/>
      <c r="Z38" s="37" t="s">
        <v>108</v>
      </c>
      <c r="AA38" s="39"/>
      <c r="AB38" s="39"/>
      <c r="AC38" s="40"/>
      <c r="AD38" s="36"/>
      <c r="AE38" s="37"/>
      <c r="AF38" s="38"/>
      <c r="AG38" s="37" t="s">
        <v>108</v>
      </c>
      <c r="AH38" s="39"/>
      <c r="AI38" s="39"/>
      <c r="AJ38" s="40"/>
      <c r="AK38" s="8"/>
      <c r="AL38" s="8"/>
    </row>
    <row r="39" spans="1:38">
      <c r="A39" s="8"/>
      <c r="B39" s="36"/>
      <c r="C39" s="37"/>
      <c r="D39" s="38"/>
      <c r="E39" s="37"/>
      <c r="F39" s="39"/>
      <c r="G39" s="39"/>
      <c r="H39" s="40"/>
      <c r="I39" s="36"/>
      <c r="J39" s="37"/>
      <c r="K39" s="38"/>
      <c r="L39" s="37"/>
      <c r="M39" s="39"/>
      <c r="N39" s="39"/>
      <c r="O39" s="40"/>
      <c r="P39" s="36"/>
      <c r="Q39" s="37"/>
      <c r="R39" s="38"/>
      <c r="S39" s="37"/>
      <c r="T39" s="39"/>
      <c r="U39" s="39"/>
      <c r="V39" s="40"/>
      <c r="W39" s="36"/>
      <c r="X39" s="37"/>
      <c r="Y39" s="38"/>
      <c r="Z39" s="37"/>
      <c r="AA39" s="39"/>
      <c r="AB39" s="39"/>
      <c r="AC39" s="40"/>
      <c r="AD39" s="36"/>
      <c r="AE39" s="37"/>
      <c r="AF39" s="38"/>
      <c r="AG39" s="37"/>
      <c r="AH39" s="39"/>
      <c r="AI39" s="39"/>
      <c r="AJ39" s="40"/>
      <c r="AK39" s="8"/>
      <c r="AL39" s="8"/>
    </row>
    <row r="40" spans="1:38">
      <c r="A40" s="8"/>
      <c r="B40" s="36"/>
      <c r="C40" s="37"/>
      <c r="D40" s="38"/>
      <c r="E40" s="37"/>
      <c r="F40" s="39"/>
      <c r="G40" s="39"/>
      <c r="H40" s="40"/>
      <c r="I40" s="36"/>
      <c r="J40" s="37"/>
      <c r="K40" s="38"/>
      <c r="L40" s="37"/>
      <c r="M40" s="39"/>
      <c r="N40" s="39"/>
      <c r="O40" s="40"/>
      <c r="P40" s="36"/>
      <c r="Q40" s="37"/>
      <c r="R40" s="38"/>
      <c r="S40" s="37"/>
      <c r="T40" s="39"/>
      <c r="U40" s="39"/>
      <c r="V40" s="40"/>
      <c r="W40" s="36"/>
      <c r="X40" s="37"/>
      <c r="Y40" s="38"/>
      <c r="Z40" s="37"/>
      <c r="AA40" s="39"/>
      <c r="AB40" s="39"/>
      <c r="AC40" s="40"/>
      <c r="AD40" s="36"/>
      <c r="AE40" s="37"/>
      <c r="AF40" s="38"/>
      <c r="AG40" s="37"/>
      <c r="AH40" s="39"/>
      <c r="AI40" s="39"/>
      <c r="AJ40" s="40"/>
      <c r="AK40" s="8"/>
      <c r="AL40" s="8"/>
    </row>
    <row r="41" spans="1:38">
      <c r="A41" s="8"/>
      <c r="B41" s="36"/>
      <c r="C41" s="37"/>
      <c r="D41" s="38"/>
      <c r="E41" s="37"/>
      <c r="F41" s="39"/>
      <c r="G41" s="39"/>
      <c r="H41" s="40"/>
      <c r="I41" s="36"/>
      <c r="J41" s="37"/>
      <c r="K41" s="38"/>
      <c r="L41" s="37"/>
      <c r="M41" s="39"/>
      <c r="N41" s="39"/>
      <c r="O41" s="40"/>
      <c r="P41" s="36"/>
      <c r="Q41" s="37"/>
      <c r="R41" s="38"/>
      <c r="S41" s="37"/>
      <c r="T41" s="39"/>
      <c r="U41" s="39"/>
      <c r="V41" s="40"/>
      <c r="W41" s="36"/>
      <c r="X41" s="37"/>
      <c r="Y41" s="38"/>
      <c r="Z41" s="37"/>
      <c r="AA41" s="39"/>
      <c r="AB41" s="39"/>
      <c r="AC41" s="40"/>
      <c r="AD41" s="36"/>
      <c r="AE41" s="37"/>
      <c r="AF41" s="38"/>
      <c r="AG41" s="37"/>
      <c r="AH41" s="39"/>
      <c r="AI41" s="39"/>
      <c r="AJ41" s="40"/>
      <c r="AK41" s="8"/>
      <c r="AL41" s="8"/>
    </row>
    <row r="42" spans="1:38">
      <c r="A42" s="8"/>
      <c r="B42" s="36"/>
      <c r="C42" s="37"/>
      <c r="D42" s="38"/>
      <c r="E42" s="37"/>
      <c r="F42" s="39"/>
      <c r="G42" s="39"/>
      <c r="H42" s="40"/>
      <c r="I42" s="36"/>
      <c r="J42" s="37"/>
      <c r="K42" s="38"/>
      <c r="L42" s="37"/>
      <c r="M42" s="39"/>
      <c r="N42" s="39"/>
      <c r="O42" s="40"/>
      <c r="P42" s="36"/>
      <c r="Q42" s="37"/>
      <c r="R42" s="38"/>
      <c r="S42" s="37"/>
      <c r="T42" s="39"/>
      <c r="U42" s="39"/>
      <c r="V42" s="40"/>
      <c r="W42" s="36"/>
      <c r="X42" s="37"/>
      <c r="Y42" s="38"/>
      <c r="Z42" s="37"/>
      <c r="AA42" s="39"/>
      <c r="AB42" s="39"/>
      <c r="AC42" s="40"/>
      <c r="AD42" s="36"/>
      <c r="AE42" s="37"/>
      <c r="AF42" s="38"/>
      <c r="AG42" s="37"/>
      <c r="AH42" s="39"/>
      <c r="AI42" s="39"/>
      <c r="AJ42" s="40"/>
      <c r="AK42" s="8"/>
      <c r="AL42" s="8"/>
    </row>
    <row r="43" spans="1:38" ht="18.75" thickBot="1">
      <c r="A43" s="8"/>
      <c r="B43" s="41"/>
      <c r="C43" s="42"/>
      <c r="D43" s="43"/>
      <c r="E43" s="42"/>
      <c r="F43" s="44"/>
      <c r="G43" s="44"/>
      <c r="H43" s="45"/>
      <c r="I43" s="41"/>
      <c r="J43" s="42"/>
      <c r="K43" s="43"/>
      <c r="L43" s="42"/>
      <c r="M43" s="44"/>
      <c r="N43" s="44"/>
      <c r="O43" s="45"/>
      <c r="P43" s="41"/>
      <c r="Q43" s="42"/>
      <c r="R43" s="43"/>
      <c r="S43" s="42"/>
      <c r="T43" s="44"/>
      <c r="U43" s="44"/>
      <c r="V43" s="45"/>
      <c r="W43" s="41"/>
      <c r="X43" s="42"/>
      <c r="Y43" s="43"/>
      <c r="Z43" s="42"/>
      <c r="AA43" s="44"/>
      <c r="AB43" s="44"/>
      <c r="AC43" s="45"/>
      <c r="AD43" s="41"/>
      <c r="AE43" s="42"/>
      <c r="AF43" s="43"/>
      <c r="AG43" s="42"/>
      <c r="AH43" s="44"/>
      <c r="AI43" s="44"/>
      <c r="AJ43" s="45"/>
      <c r="AK43" s="8"/>
      <c r="AL43" s="8"/>
    </row>
    <row r="44" spans="1:38">
      <c r="A44" s="8"/>
      <c r="B44" s="146" t="str">
        <f>IFERROR(VLOOKUP($H$44,HOLIDAYS!$B$2:$D$22,3,FALSE),"")</f>
        <v/>
      </c>
      <c r="C44" s="147"/>
      <c r="D44" s="147"/>
      <c r="E44" s="147"/>
      <c r="F44" s="147"/>
      <c r="G44" s="147"/>
      <c r="H44" s="30">
        <f>DATE(AN2,AN5,1)-WEEKDAY(DATE(AN2,AN5,1),2)+22</f>
        <v>45187</v>
      </c>
      <c r="I44" s="146" t="str">
        <f>IFERROR(VLOOKUP($O$44,HOLIDAYS!$B$2:$D$22,3,FALSE),"")</f>
        <v/>
      </c>
      <c r="J44" s="147"/>
      <c r="K44" s="147"/>
      <c r="L44" s="147"/>
      <c r="M44" s="147"/>
      <c r="N44" s="147"/>
      <c r="O44" s="30">
        <f>DATE(AN2,AN5,1)-WEEKDAY(DATE(AN2,AN5,1),2)+23</f>
        <v>45188</v>
      </c>
      <c r="P44" s="146" t="str">
        <f>IFERROR(VLOOKUP($V$44,HOLIDAYS!$B$2:$D$22,3,FALSE),"")</f>
        <v/>
      </c>
      <c r="Q44" s="147"/>
      <c r="R44" s="147"/>
      <c r="S44" s="147"/>
      <c r="T44" s="147"/>
      <c r="U44" s="147"/>
      <c r="V44" s="30">
        <f>DATE(AN2,AN5,1)-WEEKDAY(DATE(AN2,AN5,1),2)+24</f>
        <v>45189</v>
      </c>
      <c r="W44" s="146" t="str">
        <f>IFERROR(VLOOKUP($AC$44,HOLIDAYS!$B$2:$D$22,3,FALSE),"")</f>
        <v/>
      </c>
      <c r="X44" s="147"/>
      <c r="Y44" s="147"/>
      <c r="Z44" s="147"/>
      <c r="AA44" s="147"/>
      <c r="AB44" s="147"/>
      <c r="AC44" s="30">
        <f>DATE(AN2,AN5,1)-WEEKDAY(DATE(AN2,AN5,1),2)+25</f>
        <v>45190</v>
      </c>
      <c r="AD44" s="146" t="str">
        <f>IFERROR(VLOOKUP($AJ$44,HOLIDAYS!$B$2:$D$22,3,FALSE),"")</f>
        <v/>
      </c>
      <c r="AE44" s="147"/>
      <c r="AF44" s="147"/>
      <c r="AG44" s="147"/>
      <c r="AH44" s="147"/>
      <c r="AI44" s="147"/>
      <c r="AJ44" s="30">
        <f>DATE(AN2,AN5,1)-WEEKDAY(DATE(AN2,AN5,1),2)+26</f>
        <v>45191</v>
      </c>
      <c r="AK44" s="8"/>
      <c r="AL44" s="8"/>
    </row>
    <row r="45" spans="1:38">
      <c r="A45" s="8"/>
      <c r="B45" s="36"/>
      <c r="C45" s="37"/>
      <c r="D45" s="38"/>
      <c r="E45" s="37" t="s">
        <v>89</v>
      </c>
      <c r="F45" s="39"/>
      <c r="G45" s="39"/>
      <c r="H45" s="40"/>
      <c r="I45" s="36"/>
      <c r="J45" s="37"/>
      <c r="K45" s="38"/>
      <c r="L45" s="37" t="s">
        <v>89</v>
      </c>
      <c r="M45" s="39"/>
      <c r="N45" s="39"/>
      <c r="O45" s="40"/>
      <c r="P45" s="36"/>
      <c r="Q45" s="37"/>
      <c r="R45" s="38"/>
      <c r="S45" s="37" t="s">
        <v>89</v>
      </c>
      <c r="T45" s="39"/>
      <c r="U45" s="39"/>
      <c r="V45" s="40"/>
      <c r="W45" s="36"/>
      <c r="X45" s="37"/>
      <c r="Y45" s="38"/>
      <c r="Z45" s="37" t="s">
        <v>89</v>
      </c>
      <c r="AA45" s="39"/>
      <c r="AB45" s="39"/>
      <c r="AC45" s="40"/>
      <c r="AD45" s="36"/>
      <c r="AE45" s="37"/>
      <c r="AF45" s="38"/>
      <c r="AG45" s="37" t="s">
        <v>89</v>
      </c>
      <c r="AH45" s="39"/>
      <c r="AI45" s="39"/>
      <c r="AJ45" s="40"/>
      <c r="AK45" s="8"/>
      <c r="AL45" s="8"/>
    </row>
    <row r="46" spans="1:38">
      <c r="A46" s="8"/>
      <c r="B46" s="36"/>
      <c r="C46" s="37"/>
      <c r="D46" s="38"/>
      <c r="E46" s="37"/>
      <c r="F46" s="39"/>
      <c r="G46" s="39"/>
      <c r="H46" s="40"/>
      <c r="I46" s="36"/>
      <c r="J46" s="37"/>
      <c r="K46" s="38"/>
      <c r="L46" s="37"/>
      <c r="M46" s="39"/>
      <c r="N46" s="39"/>
      <c r="O46" s="40"/>
      <c r="P46" s="36"/>
      <c r="Q46" s="37"/>
      <c r="R46" s="38"/>
      <c r="S46" s="37"/>
      <c r="T46" s="39"/>
      <c r="U46" s="39"/>
      <c r="V46" s="40"/>
      <c r="W46" s="36"/>
      <c r="X46" s="37"/>
      <c r="Y46" s="38"/>
      <c r="Z46" s="37"/>
      <c r="AA46" s="39"/>
      <c r="AB46" s="39"/>
      <c r="AC46" s="40"/>
      <c r="AE46" s="37"/>
      <c r="AF46" s="38"/>
      <c r="AG46" s="37"/>
      <c r="AH46" s="39"/>
      <c r="AI46" s="39"/>
      <c r="AJ46" s="40"/>
      <c r="AK46" s="8"/>
      <c r="AL46" s="8"/>
    </row>
    <row r="47" spans="1:38">
      <c r="A47" s="8"/>
      <c r="B47" s="36"/>
      <c r="C47" s="37"/>
      <c r="D47" s="38"/>
      <c r="E47" s="37"/>
      <c r="F47" s="39"/>
      <c r="G47" s="39"/>
      <c r="H47" s="40"/>
      <c r="I47" s="36"/>
      <c r="J47" s="37"/>
      <c r="K47" s="38"/>
      <c r="L47" s="37"/>
      <c r="M47" s="39"/>
      <c r="N47" s="39"/>
      <c r="O47" s="40"/>
      <c r="P47" s="36"/>
      <c r="Q47" s="37"/>
      <c r="R47" s="38"/>
      <c r="S47" s="37"/>
      <c r="T47" s="39"/>
      <c r="U47" s="39"/>
      <c r="V47" s="40"/>
      <c r="W47" s="36"/>
      <c r="X47" s="37"/>
      <c r="Y47" s="38"/>
      <c r="Z47" s="37"/>
      <c r="AA47" s="39"/>
      <c r="AB47" s="39"/>
      <c r="AC47" s="40"/>
      <c r="AD47" s="36"/>
      <c r="AE47" s="37"/>
      <c r="AF47" s="38"/>
      <c r="AG47" s="37"/>
      <c r="AH47" s="39"/>
      <c r="AI47" s="39"/>
      <c r="AJ47" s="40"/>
      <c r="AK47" s="8"/>
      <c r="AL47" s="8"/>
    </row>
    <row r="48" spans="1:38">
      <c r="A48" s="8"/>
      <c r="B48" s="36"/>
      <c r="C48" s="37"/>
      <c r="D48" s="38"/>
      <c r="E48" s="37"/>
      <c r="F48" s="39"/>
      <c r="G48" s="39"/>
      <c r="H48" s="40"/>
      <c r="I48" s="36"/>
      <c r="J48" s="37"/>
      <c r="K48" s="38"/>
      <c r="L48" s="37"/>
      <c r="M48" s="39"/>
      <c r="N48" s="39"/>
      <c r="O48" s="40"/>
      <c r="P48" s="36"/>
      <c r="Q48" s="37"/>
      <c r="R48" s="38"/>
      <c r="S48" s="37"/>
      <c r="T48" s="39"/>
      <c r="U48" s="39"/>
      <c r="V48" s="40"/>
      <c r="W48" s="36"/>
      <c r="X48" s="37"/>
      <c r="Y48" s="38"/>
      <c r="Z48" s="37"/>
      <c r="AA48" s="39"/>
      <c r="AB48" s="39"/>
      <c r="AC48" s="40"/>
      <c r="AD48" s="36"/>
      <c r="AE48" s="37"/>
      <c r="AF48" s="38"/>
      <c r="AG48" s="37"/>
      <c r="AH48" s="39"/>
      <c r="AI48" s="39"/>
      <c r="AJ48" s="40"/>
      <c r="AK48" s="8"/>
      <c r="AL48" s="8"/>
    </row>
    <row r="49" spans="1:38">
      <c r="A49" s="8"/>
      <c r="B49" s="36"/>
      <c r="C49" s="37"/>
      <c r="D49" s="38"/>
      <c r="E49" s="37"/>
      <c r="F49" s="39"/>
      <c r="G49" s="39"/>
      <c r="H49" s="40"/>
      <c r="I49" s="36"/>
      <c r="J49" s="37"/>
      <c r="K49" s="38"/>
      <c r="L49" s="37"/>
      <c r="M49" s="39"/>
      <c r="N49" s="39"/>
      <c r="O49" s="40"/>
      <c r="P49" s="36"/>
      <c r="Q49" s="37"/>
      <c r="R49" s="38"/>
      <c r="S49" s="37"/>
      <c r="T49" s="39"/>
      <c r="U49" s="39"/>
      <c r="V49" s="40"/>
      <c r="W49" s="36"/>
      <c r="X49" s="37"/>
      <c r="Y49" s="38"/>
      <c r="Z49" s="37"/>
      <c r="AA49" s="39"/>
      <c r="AB49" s="39"/>
      <c r="AC49" s="40"/>
      <c r="AD49" s="36"/>
      <c r="AE49" s="37"/>
      <c r="AF49" s="38"/>
      <c r="AG49" s="37"/>
      <c r="AH49" s="39"/>
      <c r="AI49" s="39"/>
      <c r="AJ49" s="40"/>
      <c r="AK49" s="8"/>
      <c r="AL49" s="8"/>
    </row>
    <row r="50" spans="1:38">
      <c r="A50" s="8"/>
      <c r="B50" s="36"/>
      <c r="C50" s="37"/>
      <c r="D50" s="38"/>
      <c r="E50" s="37" t="s">
        <v>108</v>
      </c>
      <c r="F50" s="39"/>
      <c r="G50" s="39"/>
      <c r="H50" s="40"/>
      <c r="I50" s="36"/>
      <c r="J50" s="37"/>
      <c r="K50" s="38"/>
      <c r="L50" s="37" t="s">
        <v>108</v>
      </c>
      <c r="M50" s="39"/>
      <c r="N50" s="39"/>
      <c r="O50" s="40"/>
      <c r="P50" s="36"/>
      <c r="Q50" s="37"/>
      <c r="R50" s="38"/>
      <c r="S50" s="37" t="s">
        <v>108</v>
      </c>
      <c r="T50" s="39"/>
      <c r="U50" s="39"/>
      <c r="V50" s="40"/>
      <c r="W50" s="36"/>
      <c r="X50" s="37"/>
      <c r="Y50" s="38"/>
      <c r="Z50" s="37" t="s">
        <v>108</v>
      </c>
      <c r="AA50" s="39"/>
      <c r="AB50" s="39"/>
      <c r="AC50" s="40"/>
      <c r="AD50" s="36"/>
      <c r="AE50" s="37"/>
      <c r="AF50" s="38"/>
      <c r="AG50" s="37" t="s">
        <v>108</v>
      </c>
      <c r="AH50" s="39"/>
      <c r="AI50" s="39"/>
      <c r="AJ50" s="40"/>
      <c r="AK50" s="8"/>
      <c r="AL50" s="8"/>
    </row>
    <row r="51" spans="1:38">
      <c r="A51" s="8"/>
      <c r="B51" s="36"/>
      <c r="C51" s="37"/>
      <c r="D51" s="38"/>
      <c r="E51" s="37"/>
      <c r="F51" s="39"/>
      <c r="G51" s="39"/>
      <c r="H51" s="40"/>
      <c r="I51" s="36"/>
      <c r="J51" s="37"/>
      <c r="K51" s="38"/>
      <c r="L51" s="37"/>
      <c r="M51" s="39"/>
      <c r="N51" s="39"/>
      <c r="O51" s="40"/>
      <c r="P51" s="36"/>
      <c r="Q51" s="37"/>
      <c r="R51" s="38"/>
      <c r="S51" s="37"/>
      <c r="T51" s="39"/>
      <c r="U51" s="39"/>
      <c r="V51" s="40"/>
      <c r="W51" s="36"/>
      <c r="X51" s="37"/>
      <c r="Y51" s="38"/>
      <c r="Z51" s="37"/>
      <c r="AA51" s="39"/>
      <c r="AB51" s="39"/>
      <c r="AC51" s="40"/>
      <c r="AD51" s="36"/>
      <c r="AE51" s="37"/>
      <c r="AF51" s="38"/>
      <c r="AG51" s="37"/>
      <c r="AH51" s="39"/>
      <c r="AI51" s="39"/>
      <c r="AJ51" s="40"/>
      <c r="AK51" s="8"/>
      <c r="AL51" s="8"/>
    </row>
    <row r="52" spans="1:38">
      <c r="A52" s="8"/>
      <c r="B52" s="36"/>
      <c r="C52" s="37"/>
      <c r="D52" s="38"/>
      <c r="E52" s="37"/>
      <c r="F52" s="39"/>
      <c r="G52" s="39"/>
      <c r="H52" s="40"/>
      <c r="I52" s="36"/>
      <c r="J52" s="37"/>
      <c r="K52" s="38"/>
      <c r="L52" s="37"/>
      <c r="M52" s="39"/>
      <c r="N52" s="39"/>
      <c r="O52" s="40"/>
      <c r="P52" s="36"/>
      <c r="Q52" s="37"/>
      <c r="R52" s="38"/>
      <c r="S52" s="37"/>
      <c r="T52" s="39"/>
      <c r="U52" s="39"/>
      <c r="V52" s="40"/>
      <c r="W52" s="36"/>
      <c r="X52" s="37"/>
      <c r="Y52" s="38"/>
      <c r="Z52" s="37"/>
      <c r="AA52" s="39"/>
      <c r="AB52" s="39"/>
      <c r="AC52" s="40"/>
      <c r="AD52" s="36"/>
      <c r="AE52" s="37"/>
      <c r="AF52" s="38"/>
      <c r="AG52" s="37"/>
      <c r="AH52" s="39"/>
      <c r="AI52" s="39"/>
      <c r="AJ52" s="40"/>
      <c r="AK52" s="8"/>
      <c r="AL52" s="8"/>
    </row>
    <row r="53" spans="1:38">
      <c r="A53" s="8"/>
      <c r="B53" s="36"/>
      <c r="C53" s="37"/>
      <c r="D53" s="38"/>
      <c r="E53" s="37"/>
      <c r="F53" s="39"/>
      <c r="G53" s="39"/>
      <c r="H53" s="40"/>
      <c r="I53" s="36"/>
      <c r="J53" s="37"/>
      <c r="K53" s="38"/>
      <c r="L53" s="37"/>
      <c r="M53" s="39"/>
      <c r="N53" s="39"/>
      <c r="O53" s="40"/>
      <c r="P53" s="36"/>
      <c r="Q53" s="37"/>
      <c r="R53" s="38"/>
      <c r="S53" s="37"/>
      <c r="T53" s="39"/>
      <c r="U53" s="39"/>
      <c r="V53" s="40"/>
      <c r="W53" s="36"/>
      <c r="X53" s="37"/>
      <c r="Y53" s="38"/>
      <c r="Z53" s="37"/>
      <c r="AA53" s="39"/>
      <c r="AB53" s="39"/>
      <c r="AC53" s="40"/>
      <c r="AD53" s="36"/>
      <c r="AE53" s="37"/>
      <c r="AF53" s="38"/>
      <c r="AG53" s="37"/>
      <c r="AH53" s="39"/>
      <c r="AI53" s="39"/>
      <c r="AJ53" s="40"/>
      <c r="AK53" s="8"/>
      <c r="AL53" s="8"/>
    </row>
    <row r="54" spans="1:38">
      <c r="A54" s="8"/>
      <c r="B54" s="36"/>
      <c r="C54" s="37"/>
      <c r="D54" s="38"/>
      <c r="E54" s="37"/>
      <c r="F54" s="39"/>
      <c r="G54" s="39"/>
      <c r="H54" s="40"/>
      <c r="I54" s="36"/>
      <c r="J54" s="37"/>
      <c r="K54" s="38"/>
      <c r="L54" s="37"/>
      <c r="M54" s="39"/>
      <c r="N54" s="39"/>
      <c r="O54" s="40"/>
      <c r="P54" s="36"/>
      <c r="Q54" s="37"/>
      <c r="R54" s="38"/>
      <c r="S54" s="37"/>
      <c r="T54" s="39"/>
      <c r="U54" s="39"/>
      <c r="V54" s="40"/>
      <c r="W54" s="36"/>
      <c r="X54" s="37"/>
      <c r="Y54" s="38"/>
      <c r="Z54" s="37"/>
      <c r="AA54" s="39"/>
      <c r="AB54" s="39"/>
      <c r="AC54" s="40"/>
      <c r="AD54" s="36"/>
      <c r="AE54" s="37"/>
      <c r="AF54" s="38"/>
      <c r="AG54" s="37"/>
      <c r="AH54" s="39"/>
      <c r="AI54" s="39"/>
      <c r="AJ54" s="40"/>
      <c r="AK54" s="8"/>
      <c r="AL54" s="8"/>
    </row>
    <row r="55" spans="1:38" ht="18.75" thickBot="1">
      <c r="A55" s="8"/>
      <c r="B55" s="41"/>
      <c r="C55" s="42"/>
      <c r="D55" s="43"/>
      <c r="E55" s="42"/>
      <c r="F55" s="44"/>
      <c r="G55" s="44"/>
      <c r="H55" s="45"/>
      <c r="I55" s="41"/>
      <c r="J55" s="42"/>
      <c r="K55" s="43"/>
      <c r="L55" s="42"/>
      <c r="M55" s="44"/>
      <c r="N55" s="44"/>
      <c r="O55" s="45"/>
      <c r="P55" s="41"/>
      <c r="Q55" s="42"/>
      <c r="R55" s="43"/>
      <c r="S55" s="42"/>
      <c r="T55" s="44"/>
      <c r="U55" s="44"/>
      <c r="V55" s="45"/>
      <c r="W55" s="41"/>
      <c r="X55" s="42"/>
      <c r="Y55" s="43"/>
      <c r="Z55" s="42"/>
      <c r="AA55" s="44"/>
      <c r="AB55" s="44"/>
      <c r="AC55" s="45"/>
      <c r="AD55" s="41"/>
      <c r="AE55" s="42"/>
      <c r="AF55" s="43"/>
      <c r="AG55" s="42"/>
      <c r="AH55" s="44"/>
      <c r="AI55" s="44"/>
      <c r="AJ55" s="45"/>
      <c r="AK55" s="8"/>
      <c r="AL55" s="8"/>
    </row>
    <row r="56" spans="1:38">
      <c r="A56" s="8"/>
      <c r="B56" s="146" t="str">
        <f>IFERROR(VLOOKUP($H$56,HOLIDAYS!$B$2:$D$22,3,FALSE),"")</f>
        <v/>
      </c>
      <c r="C56" s="147"/>
      <c r="D56" s="147"/>
      <c r="E56" s="147"/>
      <c r="F56" s="147"/>
      <c r="G56" s="147"/>
      <c r="H56" s="30">
        <f>DATE(AN2,AN5,1)-WEEKDAY(DATE(AN2,AN5,1),2)+29</f>
        <v>45194</v>
      </c>
      <c r="I56" s="146" t="str">
        <f>IFERROR(VLOOKUP($O$56,HOLIDAYS!$B$2:$D$22,3,FALSE),"")</f>
        <v/>
      </c>
      <c r="J56" s="147"/>
      <c r="K56" s="147"/>
      <c r="L56" s="147"/>
      <c r="M56" s="147"/>
      <c r="N56" s="147"/>
      <c r="O56" s="30">
        <f>DATE(AN2,AN5,1)-WEEKDAY(DATE(AN2,AN5,1),2)+30</f>
        <v>45195</v>
      </c>
      <c r="P56" s="146" t="str">
        <f>IFERROR(VLOOKUP($V$56,HOLIDAYS!$B$2:$D$22,3,FALSE),"")</f>
        <v/>
      </c>
      <c r="Q56" s="147"/>
      <c r="R56" s="147"/>
      <c r="S56" s="147"/>
      <c r="T56" s="147"/>
      <c r="U56" s="147"/>
      <c r="V56" s="30">
        <f>DATE(AN2,AN5,1)-WEEKDAY(DATE(AN2,AN5,1),2)+31</f>
        <v>45196</v>
      </c>
      <c r="W56" s="146" t="str">
        <f>IFERROR(VLOOKUP($AC$56,HOLIDAYS!$B$2:$D$22,3,FALSE),"")</f>
        <v/>
      </c>
      <c r="X56" s="147"/>
      <c r="Y56" s="147"/>
      <c r="Z56" s="147"/>
      <c r="AA56" s="147"/>
      <c r="AB56" s="147"/>
      <c r="AC56" s="30">
        <f>DATE(AN2,AN5,1)-WEEKDAY(DATE(AN2,AN5,1),2)+32</f>
        <v>45197</v>
      </c>
      <c r="AD56" s="146" t="str">
        <f>IFERROR(VLOOKUP($AJ$56,HOLIDAYS!$B$2:$D$22,3,FALSE),"")</f>
        <v/>
      </c>
      <c r="AE56" s="147"/>
      <c r="AF56" s="147"/>
      <c r="AG56" s="147"/>
      <c r="AH56" s="147"/>
      <c r="AI56" s="147"/>
      <c r="AJ56" s="30">
        <f>DATE(AN2,AN5,1)-WEEKDAY(DATE(AN2,AN5,1),2)+33</f>
        <v>45198</v>
      </c>
      <c r="AK56" s="8"/>
      <c r="AL56" s="8"/>
    </row>
    <row r="57" spans="1:38">
      <c r="A57" s="8"/>
      <c r="B57" s="36"/>
      <c r="C57" s="37"/>
      <c r="D57" s="38"/>
      <c r="E57" s="37" t="s">
        <v>89</v>
      </c>
      <c r="F57" s="39"/>
      <c r="G57" s="39"/>
      <c r="H57" s="40"/>
      <c r="I57" s="36"/>
      <c r="J57" s="37"/>
      <c r="K57" s="38"/>
      <c r="L57" s="37" t="s">
        <v>89</v>
      </c>
      <c r="M57" s="39"/>
      <c r="N57" s="39"/>
      <c r="O57" s="40"/>
      <c r="P57" s="36"/>
      <c r="Q57" s="37"/>
      <c r="R57" s="38"/>
      <c r="S57" s="37" t="s">
        <v>89</v>
      </c>
      <c r="T57" s="39"/>
      <c r="U57" s="39"/>
      <c r="V57" s="40"/>
      <c r="W57" s="36"/>
      <c r="X57" s="37"/>
      <c r="Y57" s="38"/>
      <c r="Z57" s="37" t="s">
        <v>89</v>
      </c>
      <c r="AA57" s="39"/>
      <c r="AB57" s="39"/>
      <c r="AC57" s="40"/>
      <c r="AD57" s="36"/>
      <c r="AE57" s="37"/>
      <c r="AF57" s="38"/>
      <c r="AG57" s="37" t="s">
        <v>89</v>
      </c>
      <c r="AH57" s="39"/>
      <c r="AI57" s="39"/>
      <c r="AJ57" s="40"/>
      <c r="AK57" s="8"/>
      <c r="AL57" s="8"/>
    </row>
    <row r="58" spans="1:38">
      <c r="A58" s="8"/>
      <c r="B58" s="36"/>
      <c r="C58" s="37"/>
      <c r="D58" s="38"/>
      <c r="E58" s="37"/>
      <c r="F58" s="39"/>
      <c r="G58" s="39"/>
      <c r="H58" s="40"/>
      <c r="I58" s="36"/>
      <c r="J58" s="37"/>
      <c r="K58" s="38"/>
      <c r="L58" s="37"/>
      <c r="M58" s="39"/>
      <c r="N58" s="39"/>
      <c r="O58" s="40"/>
      <c r="P58" s="36"/>
      <c r="Q58" s="37"/>
      <c r="R58" s="38"/>
      <c r="S58" s="37"/>
      <c r="T58" s="39"/>
      <c r="U58" s="39"/>
      <c r="V58" s="40"/>
      <c r="W58" s="36"/>
      <c r="X58" s="37"/>
      <c r="Y58" s="38"/>
      <c r="Z58" s="37"/>
      <c r="AA58" s="39"/>
      <c r="AB58" s="39"/>
      <c r="AC58" s="40"/>
      <c r="AD58" s="36"/>
      <c r="AE58" s="37"/>
      <c r="AF58" s="38"/>
      <c r="AG58" s="37"/>
      <c r="AH58" s="39"/>
      <c r="AI58" s="39"/>
      <c r="AJ58" s="40"/>
      <c r="AK58" s="8"/>
      <c r="AL58" s="8"/>
    </row>
    <row r="59" spans="1:38">
      <c r="A59" s="8"/>
      <c r="B59" s="36"/>
      <c r="C59" s="37"/>
      <c r="D59" s="38"/>
      <c r="E59" s="37"/>
      <c r="F59" s="39"/>
      <c r="G59" s="39"/>
      <c r="H59" s="40"/>
      <c r="I59" s="36"/>
      <c r="J59" s="37"/>
      <c r="K59" s="38"/>
      <c r="L59" s="37"/>
      <c r="M59" s="39"/>
      <c r="N59" s="39"/>
      <c r="O59" s="40"/>
      <c r="P59" s="36"/>
      <c r="Q59" s="37"/>
      <c r="R59" s="38"/>
      <c r="S59" s="37"/>
      <c r="T59" s="39"/>
      <c r="U59" s="39"/>
      <c r="V59" s="40"/>
      <c r="W59" s="36"/>
      <c r="X59" s="37"/>
      <c r="Y59" s="38"/>
      <c r="Z59" s="37"/>
      <c r="AA59" s="39"/>
      <c r="AB59" s="39"/>
      <c r="AC59" s="40"/>
      <c r="AD59" s="36"/>
      <c r="AE59" s="37"/>
      <c r="AF59" s="38"/>
      <c r="AG59" s="37"/>
      <c r="AH59" s="39"/>
      <c r="AI59" s="39"/>
      <c r="AJ59" s="40"/>
      <c r="AK59" s="8"/>
      <c r="AL59" s="8"/>
    </row>
    <row r="60" spans="1:38">
      <c r="A60" s="8"/>
      <c r="B60" s="36"/>
      <c r="C60" s="37"/>
      <c r="D60" s="38"/>
      <c r="E60" s="37"/>
      <c r="F60" s="39"/>
      <c r="G60" s="39"/>
      <c r="H60" s="40"/>
      <c r="I60" s="36"/>
      <c r="J60" s="37"/>
      <c r="K60" s="38"/>
      <c r="L60" s="37"/>
      <c r="M60" s="39"/>
      <c r="N60" s="39"/>
      <c r="O60" s="40"/>
      <c r="P60" s="36"/>
      <c r="Q60" s="37"/>
      <c r="R60" s="38"/>
      <c r="S60" s="37"/>
      <c r="T60" s="39"/>
      <c r="U60" s="39"/>
      <c r="V60" s="40"/>
      <c r="W60" s="36"/>
      <c r="X60" s="37"/>
      <c r="Y60" s="38"/>
      <c r="Z60" s="37"/>
      <c r="AA60" s="39"/>
      <c r="AB60" s="39"/>
      <c r="AC60" s="40"/>
      <c r="AD60" s="36"/>
      <c r="AE60" s="37"/>
      <c r="AF60" s="38"/>
      <c r="AG60" s="37"/>
      <c r="AH60" s="39"/>
      <c r="AI60" s="39"/>
      <c r="AJ60" s="40"/>
      <c r="AK60" s="8"/>
      <c r="AL60" s="8"/>
    </row>
    <row r="61" spans="1:38">
      <c r="A61" s="8"/>
      <c r="B61" s="36"/>
      <c r="C61" s="37"/>
      <c r="D61" s="38"/>
      <c r="E61" s="37"/>
      <c r="F61" s="39"/>
      <c r="G61" s="39"/>
      <c r="H61" s="40"/>
      <c r="I61" s="36"/>
      <c r="J61" s="37"/>
      <c r="K61" s="38"/>
      <c r="L61" s="37"/>
      <c r="M61" s="39"/>
      <c r="N61" s="39"/>
      <c r="O61" s="40"/>
      <c r="P61" s="36"/>
      <c r="Q61" s="37"/>
      <c r="R61" s="38"/>
      <c r="S61" s="37"/>
      <c r="T61" s="39"/>
      <c r="U61" s="39"/>
      <c r="V61" s="40"/>
      <c r="W61" s="36"/>
      <c r="X61" s="37"/>
      <c r="Y61" s="38"/>
      <c r="Z61" s="37"/>
      <c r="AA61" s="39"/>
      <c r="AB61" s="39"/>
      <c r="AC61" s="40"/>
      <c r="AD61" s="36"/>
      <c r="AE61" s="37"/>
      <c r="AF61" s="38"/>
      <c r="AG61" s="37"/>
      <c r="AH61" s="39"/>
      <c r="AI61" s="39"/>
      <c r="AJ61" s="40"/>
      <c r="AK61" s="8"/>
      <c r="AL61" s="8"/>
    </row>
    <row r="62" spans="1:38">
      <c r="A62" s="8"/>
      <c r="B62" s="36"/>
      <c r="C62" s="37"/>
      <c r="D62" s="38"/>
      <c r="E62" s="37" t="s">
        <v>108</v>
      </c>
      <c r="F62" s="39"/>
      <c r="G62" s="39"/>
      <c r="H62" s="40"/>
      <c r="I62" s="36"/>
      <c r="J62" s="37"/>
      <c r="K62" s="38"/>
      <c r="L62" s="37" t="s">
        <v>108</v>
      </c>
      <c r="M62" s="39"/>
      <c r="N62" s="39"/>
      <c r="O62" s="40"/>
      <c r="P62" s="36"/>
      <c r="Q62" s="37"/>
      <c r="R62" s="38"/>
      <c r="S62" s="37" t="s">
        <v>108</v>
      </c>
      <c r="T62" s="39"/>
      <c r="U62" s="39"/>
      <c r="V62" s="40"/>
      <c r="W62" s="36"/>
      <c r="X62" s="37"/>
      <c r="Y62" s="38"/>
      <c r="Z62" s="37" t="s">
        <v>108</v>
      </c>
      <c r="AA62" s="39"/>
      <c r="AB62" s="39"/>
      <c r="AC62" s="40"/>
      <c r="AD62" s="36"/>
      <c r="AE62" s="37"/>
      <c r="AF62" s="38"/>
      <c r="AG62" s="37" t="s">
        <v>108</v>
      </c>
      <c r="AH62" s="39"/>
      <c r="AI62" s="39"/>
      <c r="AJ62" s="40"/>
      <c r="AK62" s="8"/>
      <c r="AL62" s="8"/>
    </row>
    <row r="63" spans="1:38">
      <c r="A63" s="8"/>
      <c r="B63" s="36"/>
      <c r="C63" s="37"/>
      <c r="D63" s="38"/>
      <c r="E63" s="37"/>
      <c r="F63" s="39"/>
      <c r="G63" s="39"/>
      <c r="H63" s="40"/>
      <c r="I63" s="36"/>
      <c r="J63" s="37"/>
      <c r="K63" s="38"/>
      <c r="L63" s="37"/>
      <c r="M63" s="39"/>
      <c r="N63" s="39"/>
      <c r="O63" s="40"/>
      <c r="P63" s="36"/>
      <c r="Q63" s="37"/>
      <c r="R63" s="38"/>
      <c r="S63" s="37"/>
      <c r="T63" s="39"/>
      <c r="U63" s="39"/>
      <c r="V63" s="40"/>
      <c r="W63" s="36"/>
      <c r="X63" s="37"/>
      <c r="Y63" s="38"/>
      <c r="Z63" s="37"/>
      <c r="AA63" s="39"/>
      <c r="AB63" s="39"/>
      <c r="AC63" s="40"/>
      <c r="AD63" s="36"/>
      <c r="AE63" s="37"/>
      <c r="AF63" s="38"/>
      <c r="AG63" s="37"/>
      <c r="AH63" s="39"/>
      <c r="AI63" s="39"/>
      <c r="AJ63" s="40"/>
      <c r="AK63" s="8"/>
      <c r="AL63" s="8"/>
    </row>
    <row r="64" spans="1:38">
      <c r="A64" s="8"/>
      <c r="B64" s="36"/>
      <c r="C64" s="37"/>
      <c r="D64" s="38"/>
      <c r="E64" s="37"/>
      <c r="F64" s="39"/>
      <c r="G64" s="39"/>
      <c r="H64" s="40"/>
      <c r="I64" s="36"/>
      <c r="J64" s="37"/>
      <c r="K64" s="38"/>
      <c r="L64" s="37"/>
      <c r="M64" s="39"/>
      <c r="N64" s="39"/>
      <c r="O64" s="40"/>
      <c r="P64" s="36"/>
      <c r="Q64" s="37"/>
      <c r="R64" s="38"/>
      <c r="S64" s="37"/>
      <c r="T64" s="39"/>
      <c r="U64" s="39"/>
      <c r="V64" s="40"/>
      <c r="W64" s="36"/>
      <c r="X64" s="37"/>
      <c r="Y64" s="38"/>
      <c r="Z64" s="37"/>
      <c r="AA64" s="39"/>
      <c r="AB64" s="39"/>
      <c r="AC64" s="40"/>
      <c r="AD64" s="36"/>
      <c r="AE64" s="37"/>
      <c r="AF64" s="38"/>
      <c r="AG64" s="37"/>
      <c r="AH64" s="39"/>
      <c r="AI64" s="39"/>
      <c r="AJ64" s="40"/>
      <c r="AK64" s="8"/>
      <c r="AL64" s="8"/>
    </row>
    <row r="65" spans="1:38">
      <c r="A65" s="8"/>
      <c r="B65" s="36"/>
      <c r="C65" s="37"/>
      <c r="D65" s="38"/>
      <c r="E65" s="37"/>
      <c r="F65" s="39"/>
      <c r="G65" s="39"/>
      <c r="H65" s="40"/>
      <c r="I65" s="36"/>
      <c r="J65" s="37"/>
      <c r="K65" s="38"/>
      <c r="L65" s="37"/>
      <c r="M65" s="39"/>
      <c r="N65" s="39"/>
      <c r="O65" s="40"/>
      <c r="P65" s="36"/>
      <c r="Q65" s="37"/>
      <c r="R65" s="38"/>
      <c r="S65" s="37"/>
      <c r="T65" s="39"/>
      <c r="U65" s="39"/>
      <c r="V65" s="40"/>
      <c r="W65" s="36"/>
      <c r="X65" s="37"/>
      <c r="Y65" s="38"/>
      <c r="Z65" s="37"/>
      <c r="AA65" s="39"/>
      <c r="AB65" s="39"/>
      <c r="AC65" s="40"/>
      <c r="AD65" s="36"/>
      <c r="AE65" s="37"/>
      <c r="AF65" s="38"/>
      <c r="AG65" s="37"/>
      <c r="AH65" s="39"/>
      <c r="AI65" s="39"/>
      <c r="AJ65" s="40"/>
      <c r="AK65" s="8"/>
      <c r="AL65" s="8"/>
    </row>
    <row r="66" spans="1:38">
      <c r="A66" s="8"/>
      <c r="B66" s="36"/>
      <c r="C66" s="37"/>
      <c r="D66" s="38"/>
      <c r="E66" s="37"/>
      <c r="F66" s="39"/>
      <c r="G66" s="39"/>
      <c r="H66" s="40"/>
      <c r="I66" s="36"/>
      <c r="J66" s="37"/>
      <c r="K66" s="38"/>
      <c r="L66" s="37"/>
      <c r="M66" s="39"/>
      <c r="N66" s="39"/>
      <c r="O66" s="40"/>
      <c r="P66" s="36"/>
      <c r="Q66" s="37"/>
      <c r="R66" s="38"/>
      <c r="S66" s="37"/>
      <c r="T66" s="39"/>
      <c r="U66" s="39"/>
      <c r="V66" s="40"/>
      <c r="W66" s="36"/>
      <c r="X66" s="37"/>
      <c r="Y66" s="38"/>
      <c r="Z66" s="37"/>
      <c r="AA66" s="39"/>
      <c r="AB66" s="39"/>
      <c r="AC66" s="40"/>
      <c r="AD66" s="36"/>
      <c r="AE66" s="37"/>
      <c r="AF66" s="38"/>
      <c r="AG66" s="37"/>
      <c r="AH66" s="39"/>
      <c r="AI66" s="39"/>
      <c r="AJ66" s="40"/>
      <c r="AK66" s="8"/>
      <c r="AL66" s="8"/>
    </row>
    <row r="67" spans="1:38" ht="18.75" thickBot="1">
      <c r="A67" s="8"/>
      <c r="B67" s="41"/>
      <c r="C67" s="42"/>
      <c r="D67" s="43"/>
      <c r="E67" s="42"/>
      <c r="F67" s="44"/>
      <c r="G67" s="44"/>
      <c r="H67" s="45"/>
      <c r="I67" s="41"/>
      <c r="J67" s="42"/>
      <c r="K67" s="43"/>
      <c r="L67" s="42"/>
      <c r="M67" s="44"/>
      <c r="N67" s="44"/>
      <c r="O67" s="45"/>
      <c r="P67" s="41"/>
      <c r="Q67" s="42"/>
      <c r="R67" s="43"/>
      <c r="S67" s="42"/>
      <c r="T67" s="44"/>
      <c r="U67" s="44"/>
      <c r="V67" s="45"/>
      <c r="W67" s="41"/>
      <c r="X67" s="42"/>
      <c r="Y67" s="43"/>
      <c r="Z67" s="42"/>
      <c r="AA67" s="44"/>
      <c r="AB67" s="44"/>
      <c r="AC67" s="45"/>
      <c r="AD67" s="41"/>
      <c r="AE67" s="42"/>
      <c r="AF67" s="43"/>
      <c r="AG67" s="42"/>
      <c r="AH67" s="44"/>
      <c r="AI67" s="44"/>
      <c r="AJ67" s="45"/>
      <c r="AK67" s="8"/>
      <c r="AL67" s="8"/>
    </row>
    <row r="68" spans="1:38">
      <c r="A68" s="8"/>
      <c r="B68" s="146" t="str">
        <f>IFERROR(VLOOKUP($H$68,HOLIDAYS!$B$2:$D$22,3,FALSE),"")</f>
        <v/>
      </c>
      <c r="C68" s="147"/>
      <c r="D68" s="147"/>
      <c r="E68" s="147"/>
      <c r="F68" s="147"/>
      <c r="G68" s="147"/>
      <c r="H68" s="30">
        <f>DATE(AN2,AN5,1)-WEEKDAY(DATE(AN2,AN5,1),2)+36</f>
        <v>45201</v>
      </c>
      <c r="I68" s="146" t="str">
        <f>IFERROR(VLOOKUP($O$68,HOLIDAYS!$B$2:$D$22,3,FALSE),"")</f>
        <v/>
      </c>
      <c r="J68" s="147"/>
      <c r="K68" s="147"/>
      <c r="L68" s="147"/>
      <c r="M68" s="147"/>
      <c r="N68" s="147"/>
      <c r="O68" s="30">
        <f>DATE(AN2,AN5,1)-WEEKDAY(DATE(AN2,AN5,1),2)+37</f>
        <v>45202</v>
      </c>
      <c r="P68" s="146" t="str">
        <f>IFERROR(VLOOKUP($V$68,HOLIDAYS!$B$2:$D$22,3,FALSE),"")</f>
        <v/>
      </c>
      <c r="Q68" s="147"/>
      <c r="R68" s="147"/>
      <c r="S68" s="147"/>
      <c r="T68" s="147"/>
      <c r="U68" s="147"/>
      <c r="V68" s="30">
        <f>DATE(AN2,AN5,1)-WEEKDAY(DATE(AN2,AN5,1),2)+38</f>
        <v>45203</v>
      </c>
      <c r="W68" s="146" t="str">
        <f>IFERROR(VLOOKUP($AC$68,HOLIDAYS!$B$2:$D$22,3,FALSE),"")</f>
        <v/>
      </c>
      <c r="X68" s="147"/>
      <c r="Y68" s="147"/>
      <c r="Z68" s="147"/>
      <c r="AA68" s="147"/>
      <c r="AB68" s="147"/>
      <c r="AC68" s="30">
        <f>DATE(AN2,AN5,1)-WEEKDAY(DATE(AN2,AN5,1),2)+39</f>
        <v>45204</v>
      </c>
      <c r="AD68" s="146" t="str">
        <f>IFERROR(VLOOKUP($AJ$68,HOLIDAYS!$B$2:$D$22,3,FALSE),"")</f>
        <v/>
      </c>
      <c r="AE68" s="147"/>
      <c r="AF68" s="147"/>
      <c r="AG68" s="147"/>
      <c r="AH68" s="147"/>
      <c r="AI68" s="147"/>
      <c r="AJ68" s="30">
        <f>DATE(AN2,AN5,1)-WEEKDAY(DATE(AN2,AN5,1),2)+40</f>
        <v>45205</v>
      </c>
      <c r="AK68" s="8"/>
      <c r="AL68" s="8"/>
    </row>
    <row r="69" spans="1:38">
      <c r="A69" s="8"/>
      <c r="B69" s="36"/>
      <c r="C69" s="37"/>
      <c r="D69" s="38"/>
      <c r="E69" s="37" t="s">
        <v>89</v>
      </c>
      <c r="F69" s="39"/>
      <c r="G69" s="39"/>
      <c r="H69" s="40"/>
      <c r="I69" s="36"/>
      <c r="J69" s="37"/>
      <c r="K69" s="38"/>
      <c r="L69" s="37" t="s">
        <v>89</v>
      </c>
      <c r="M69" s="39"/>
      <c r="N69" s="39"/>
      <c r="O69" s="40"/>
      <c r="P69" s="36"/>
      <c r="Q69" s="37"/>
      <c r="R69" s="38"/>
      <c r="S69" s="37" t="s">
        <v>89</v>
      </c>
      <c r="T69" s="39"/>
      <c r="U69" s="39"/>
      <c r="V69" s="40"/>
      <c r="W69" s="36"/>
      <c r="X69" s="37"/>
      <c r="Y69" s="38"/>
      <c r="Z69" s="37" t="s">
        <v>89</v>
      </c>
      <c r="AA69" s="39"/>
      <c r="AB69" s="39"/>
      <c r="AC69" s="40"/>
      <c r="AD69" s="36"/>
      <c r="AE69" s="37"/>
      <c r="AF69" s="38"/>
      <c r="AG69" s="37" t="s">
        <v>89</v>
      </c>
      <c r="AH69" s="39"/>
      <c r="AI69" s="39"/>
      <c r="AJ69" s="40"/>
      <c r="AK69" s="8"/>
      <c r="AL69" s="8"/>
    </row>
    <row r="70" spans="1:38">
      <c r="A70" s="8"/>
      <c r="B70" s="36"/>
      <c r="C70" s="37"/>
      <c r="D70" s="38"/>
      <c r="E70" s="37"/>
      <c r="F70" s="39"/>
      <c r="G70" s="39"/>
      <c r="H70" s="40"/>
      <c r="I70" s="36"/>
      <c r="J70" s="37"/>
      <c r="K70" s="38"/>
      <c r="L70" s="37"/>
      <c r="M70" s="39"/>
      <c r="N70" s="39"/>
      <c r="O70" s="40"/>
      <c r="P70" s="36"/>
      <c r="Q70" s="37"/>
      <c r="R70" s="38"/>
      <c r="S70" s="37"/>
      <c r="T70" s="39"/>
      <c r="U70" s="39"/>
      <c r="V70" s="40"/>
      <c r="W70" s="36"/>
      <c r="X70" s="37"/>
      <c r="Y70" s="38"/>
      <c r="Z70" s="37"/>
      <c r="AA70" s="39"/>
      <c r="AB70" s="39"/>
      <c r="AC70" s="40"/>
      <c r="AD70" s="36"/>
      <c r="AE70" s="37"/>
      <c r="AF70" s="38"/>
      <c r="AG70" s="37"/>
      <c r="AH70" s="39"/>
      <c r="AI70" s="39"/>
      <c r="AJ70" s="40"/>
      <c r="AK70" s="8"/>
      <c r="AL70" s="8"/>
    </row>
    <row r="71" spans="1:38">
      <c r="A71" s="8"/>
      <c r="B71" s="36"/>
      <c r="C71" s="37"/>
      <c r="D71" s="38"/>
      <c r="E71" s="37"/>
      <c r="F71" s="39"/>
      <c r="G71" s="39"/>
      <c r="H71" s="40"/>
      <c r="I71" s="36"/>
      <c r="J71" s="37"/>
      <c r="K71" s="38"/>
      <c r="L71" s="37"/>
      <c r="M71" s="39"/>
      <c r="N71" s="39"/>
      <c r="O71" s="40"/>
      <c r="P71" s="36"/>
      <c r="Q71" s="37"/>
      <c r="R71" s="38"/>
      <c r="S71" s="37"/>
      <c r="T71" s="39"/>
      <c r="U71" s="39"/>
      <c r="V71" s="40"/>
      <c r="W71" s="36"/>
      <c r="X71" s="37"/>
      <c r="Y71" s="38"/>
      <c r="Z71" s="37"/>
      <c r="AA71" s="39"/>
      <c r="AB71" s="39"/>
      <c r="AC71" s="40"/>
      <c r="AD71" s="36"/>
      <c r="AE71" s="37"/>
      <c r="AF71" s="38"/>
      <c r="AG71" s="37"/>
      <c r="AH71" s="39"/>
      <c r="AI71" s="39"/>
      <c r="AJ71" s="40"/>
      <c r="AK71" s="8"/>
      <c r="AL71" s="8"/>
    </row>
    <row r="72" spans="1:38">
      <c r="A72" s="8"/>
      <c r="B72" s="36"/>
      <c r="C72" s="37"/>
      <c r="D72" s="38"/>
      <c r="E72" s="37"/>
      <c r="F72" s="39"/>
      <c r="G72" s="39"/>
      <c r="H72" s="40"/>
      <c r="I72" s="36"/>
      <c r="J72" s="37"/>
      <c r="K72" s="38"/>
      <c r="L72" s="37"/>
      <c r="M72" s="39"/>
      <c r="N72" s="39"/>
      <c r="O72" s="40"/>
      <c r="P72" s="36"/>
      <c r="Q72" s="37"/>
      <c r="R72" s="38"/>
      <c r="S72" s="37"/>
      <c r="T72" s="39"/>
      <c r="U72" s="39"/>
      <c r="V72" s="40"/>
      <c r="W72" s="36"/>
      <c r="X72" s="37"/>
      <c r="Y72" s="38"/>
      <c r="Z72" s="37"/>
      <c r="AA72" s="39"/>
      <c r="AB72" s="39"/>
      <c r="AC72" s="40"/>
      <c r="AD72" s="36"/>
      <c r="AE72" s="37"/>
      <c r="AF72" s="38"/>
      <c r="AG72" s="37"/>
      <c r="AH72" s="39"/>
      <c r="AI72" s="39"/>
      <c r="AJ72" s="40"/>
      <c r="AK72" s="8"/>
      <c r="AL72" s="8"/>
    </row>
    <row r="73" spans="1:38">
      <c r="A73" s="8"/>
      <c r="B73" s="36"/>
      <c r="C73" s="37"/>
      <c r="D73" s="38"/>
      <c r="E73" s="37"/>
      <c r="F73" s="39"/>
      <c r="G73" s="39"/>
      <c r="H73" s="40"/>
      <c r="I73" s="36"/>
      <c r="J73" s="37"/>
      <c r="K73" s="38"/>
      <c r="L73" s="37"/>
      <c r="M73" s="39"/>
      <c r="N73" s="39"/>
      <c r="O73" s="40"/>
      <c r="P73" s="36"/>
      <c r="Q73" s="37"/>
      <c r="R73" s="38"/>
      <c r="S73" s="37"/>
      <c r="T73" s="39"/>
      <c r="U73" s="39"/>
      <c r="V73" s="40"/>
      <c r="W73" s="36"/>
      <c r="X73" s="37"/>
      <c r="Y73" s="38"/>
      <c r="Z73" s="37"/>
      <c r="AA73" s="39"/>
      <c r="AB73" s="39"/>
      <c r="AC73" s="40"/>
      <c r="AD73" s="36"/>
      <c r="AE73" s="37"/>
      <c r="AF73" s="38"/>
      <c r="AG73" s="37"/>
      <c r="AH73" s="39"/>
      <c r="AI73" s="39"/>
      <c r="AJ73" s="40"/>
      <c r="AK73" s="8"/>
      <c r="AL73" s="8"/>
    </row>
    <row r="74" spans="1:38">
      <c r="A74" s="8"/>
      <c r="B74" s="36"/>
      <c r="C74" s="37"/>
      <c r="D74" s="38"/>
      <c r="E74" s="37" t="s">
        <v>108</v>
      </c>
      <c r="F74" s="39"/>
      <c r="G74" s="39"/>
      <c r="H74" s="40"/>
      <c r="I74" s="36"/>
      <c r="J74" s="37"/>
      <c r="K74" s="38"/>
      <c r="L74" s="37" t="s">
        <v>108</v>
      </c>
      <c r="M74" s="39"/>
      <c r="N74" s="39"/>
      <c r="O74" s="40"/>
      <c r="P74" s="36"/>
      <c r="Q74" s="37"/>
      <c r="R74" s="38"/>
      <c r="S74" s="37" t="s">
        <v>108</v>
      </c>
      <c r="T74" s="39"/>
      <c r="U74" s="39"/>
      <c r="V74" s="40"/>
      <c r="W74" s="36"/>
      <c r="X74" s="37"/>
      <c r="Y74" s="38"/>
      <c r="Z74" s="37" t="s">
        <v>108</v>
      </c>
      <c r="AA74" s="39"/>
      <c r="AB74" s="39"/>
      <c r="AC74" s="40"/>
      <c r="AD74" s="36"/>
      <c r="AE74" s="37"/>
      <c r="AF74" s="38"/>
      <c r="AG74" s="37" t="s">
        <v>108</v>
      </c>
      <c r="AH74" s="39"/>
      <c r="AI74" s="39"/>
      <c r="AJ74" s="40"/>
      <c r="AK74" s="8"/>
      <c r="AL74" s="8"/>
    </row>
    <row r="75" spans="1:38">
      <c r="A75" s="8"/>
      <c r="B75" s="36"/>
      <c r="C75" s="37"/>
      <c r="D75" s="38"/>
      <c r="E75" s="37"/>
      <c r="F75" s="39"/>
      <c r="G75" s="39"/>
      <c r="H75" s="40"/>
      <c r="I75" s="36"/>
      <c r="J75" s="37"/>
      <c r="K75" s="38"/>
      <c r="L75" s="37"/>
      <c r="M75" s="39"/>
      <c r="N75" s="39"/>
      <c r="O75" s="40"/>
      <c r="P75" s="36"/>
      <c r="Q75" s="37"/>
      <c r="R75" s="38"/>
      <c r="S75" s="37"/>
      <c r="T75" s="39"/>
      <c r="U75" s="39"/>
      <c r="V75" s="40"/>
      <c r="W75" s="36"/>
      <c r="X75" s="37"/>
      <c r="Y75" s="38"/>
      <c r="Z75" s="37"/>
      <c r="AA75" s="39"/>
      <c r="AB75" s="39"/>
      <c r="AC75" s="40"/>
      <c r="AD75" s="36"/>
      <c r="AE75" s="37"/>
      <c r="AF75" s="38"/>
      <c r="AG75" s="37"/>
      <c r="AH75" s="39"/>
      <c r="AI75" s="39"/>
      <c r="AJ75" s="40"/>
      <c r="AK75" s="8"/>
      <c r="AL75" s="8"/>
    </row>
    <row r="76" spans="1:38">
      <c r="A76" s="8"/>
      <c r="B76" s="36"/>
      <c r="C76" s="37"/>
      <c r="D76" s="38"/>
      <c r="E76" s="37"/>
      <c r="F76" s="39"/>
      <c r="G76" s="39"/>
      <c r="H76" s="40"/>
      <c r="I76" s="36"/>
      <c r="J76" s="37"/>
      <c r="K76" s="38"/>
      <c r="L76" s="37"/>
      <c r="M76" s="39"/>
      <c r="N76" s="39"/>
      <c r="O76" s="40"/>
      <c r="P76" s="36"/>
      <c r="Q76" s="37"/>
      <c r="R76" s="38"/>
      <c r="S76" s="37"/>
      <c r="T76" s="39"/>
      <c r="U76" s="39"/>
      <c r="V76" s="40"/>
      <c r="W76" s="36"/>
      <c r="X76" s="37"/>
      <c r="Y76" s="38"/>
      <c r="Z76" s="37"/>
      <c r="AA76" s="39"/>
      <c r="AB76" s="39"/>
      <c r="AC76" s="40"/>
      <c r="AD76" s="36"/>
      <c r="AE76" s="37"/>
      <c r="AF76" s="38"/>
      <c r="AG76" s="37"/>
      <c r="AH76" s="39"/>
      <c r="AI76" s="39"/>
      <c r="AJ76" s="40"/>
      <c r="AK76" s="8"/>
      <c r="AL76" s="8"/>
    </row>
    <row r="77" spans="1:38">
      <c r="A77" s="8"/>
      <c r="B77" s="36"/>
      <c r="C77" s="37"/>
      <c r="D77" s="38"/>
      <c r="E77" s="37"/>
      <c r="F77" s="39"/>
      <c r="G77" s="39"/>
      <c r="H77" s="40"/>
      <c r="I77" s="36"/>
      <c r="J77" s="37"/>
      <c r="K77" s="38"/>
      <c r="L77" s="37"/>
      <c r="M77" s="39"/>
      <c r="N77" s="39"/>
      <c r="O77" s="40"/>
      <c r="P77" s="36"/>
      <c r="Q77" s="37"/>
      <c r="R77" s="38"/>
      <c r="S77" s="37"/>
      <c r="T77" s="39"/>
      <c r="U77" s="39"/>
      <c r="V77" s="40"/>
      <c r="W77" s="36"/>
      <c r="X77" s="37"/>
      <c r="Y77" s="38"/>
      <c r="Z77" s="37"/>
      <c r="AA77" s="39"/>
      <c r="AB77" s="39"/>
      <c r="AC77" s="40"/>
      <c r="AD77" s="36"/>
      <c r="AE77" s="37"/>
      <c r="AF77" s="38"/>
      <c r="AG77" s="37"/>
      <c r="AH77" s="39"/>
      <c r="AI77" s="39"/>
      <c r="AJ77" s="40"/>
      <c r="AK77" s="8"/>
      <c r="AL77" s="8"/>
    </row>
    <row r="78" spans="1:38">
      <c r="A78" s="8"/>
      <c r="B78" s="36"/>
      <c r="C78" s="37"/>
      <c r="D78" s="38"/>
      <c r="E78" s="37"/>
      <c r="F78" s="39"/>
      <c r="G78" s="39"/>
      <c r="H78" s="40"/>
      <c r="I78" s="36"/>
      <c r="J78" s="37"/>
      <c r="K78" s="38"/>
      <c r="L78" s="37"/>
      <c r="M78" s="39"/>
      <c r="N78" s="39"/>
      <c r="O78" s="40"/>
      <c r="P78" s="36"/>
      <c r="Q78" s="37"/>
      <c r="R78" s="38"/>
      <c r="S78" s="37"/>
      <c r="T78" s="39"/>
      <c r="U78" s="39"/>
      <c r="V78" s="40"/>
      <c r="W78" s="36"/>
      <c r="X78" s="37"/>
      <c r="Y78" s="38"/>
      <c r="Z78" s="37"/>
      <c r="AA78" s="39"/>
      <c r="AB78" s="39"/>
      <c r="AC78" s="40"/>
      <c r="AD78" s="36"/>
      <c r="AE78" s="37"/>
      <c r="AF78" s="38"/>
      <c r="AG78" s="37"/>
      <c r="AH78" s="39"/>
      <c r="AI78" s="39"/>
      <c r="AJ78" s="40"/>
      <c r="AK78" s="8"/>
      <c r="AL78" s="8"/>
    </row>
    <row r="79" spans="1:38" ht="18.75" thickBot="1">
      <c r="A79" s="8"/>
      <c r="B79" s="41"/>
      <c r="C79" s="42"/>
      <c r="D79" s="43"/>
      <c r="E79" s="42"/>
      <c r="F79" s="44"/>
      <c r="G79" s="44"/>
      <c r="H79" s="45"/>
      <c r="I79" s="41"/>
      <c r="J79" s="42"/>
      <c r="K79" s="43"/>
      <c r="L79" s="42"/>
      <c r="M79" s="44"/>
      <c r="N79" s="44"/>
      <c r="O79" s="45"/>
      <c r="P79" s="41"/>
      <c r="Q79" s="42"/>
      <c r="R79" s="43"/>
      <c r="S79" s="42"/>
      <c r="T79" s="44"/>
      <c r="U79" s="44"/>
      <c r="V79" s="45"/>
      <c r="W79" s="41"/>
      <c r="X79" s="42"/>
      <c r="Y79" s="43"/>
      <c r="Z79" s="42"/>
      <c r="AA79" s="44"/>
      <c r="AB79" s="44"/>
      <c r="AC79" s="45"/>
      <c r="AD79" s="41"/>
      <c r="AE79" s="42"/>
      <c r="AF79" s="43"/>
      <c r="AG79" s="42"/>
      <c r="AH79" s="44"/>
      <c r="AI79" s="44"/>
      <c r="AJ79" s="45"/>
      <c r="AK79" s="8"/>
      <c r="AL79" s="8"/>
    </row>
    <row r="80" spans="1:38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</row>
    <row r="81" spans="1:38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</row>
    <row r="82" spans="1:38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</row>
    <row r="83" spans="1:38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</row>
  </sheetData>
  <mergeCells count="41">
    <mergeCell ref="B68:G68"/>
    <mergeCell ref="I68:N68"/>
    <mergeCell ref="P68:U68"/>
    <mergeCell ref="W68:AB68"/>
    <mergeCell ref="AD68:AI68"/>
    <mergeCell ref="B44:G44"/>
    <mergeCell ref="I44:N44"/>
    <mergeCell ref="P44:U44"/>
    <mergeCell ref="W44:AB44"/>
    <mergeCell ref="AD44:AI44"/>
    <mergeCell ref="B56:G56"/>
    <mergeCell ref="I56:N56"/>
    <mergeCell ref="P56:U56"/>
    <mergeCell ref="W56:AB56"/>
    <mergeCell ref="AD56:AI56"/>
    <mergeCell ref="B20:G20"/>
    <mergeCell ref="I20:N20"/>
    <mergeCell ref="P20:U20"/>
    <mergeCell ref="W20:AB20"/>
    <mergeCell ref="AD20:AI20"/>
    <mergeCell ref="B32:G32"/>
    <mergeCell ref="I32:N32"/>
    <mergeCell ref="P32:U32"/>
    <mergeCell ref="W32:AB32"/>
    <mergeCell ref="AD32:AI32"/>
    <mergeCell ref="AM5:AM6"/>
    <mergeCell ref="AN5:AN6"/>
    <mergeCell ref="B8:G8"/>
    <mergeCell ref="I8:N8"/>
    <mergeCell ref="P8:U8"/>
    <mergeCell ref="W8:AB8"/>
    <mergeCell ref="AD8:AI8"/>
    <mergeCell ref="B1:D1"/>
    <mergeCell ref="AM1:AO1"/>
    <mergeCell ref="B2:H2"/>
    <mergeCell ref="I2:O2"/>
    <mergeCell ref="P2:V2"/>
    <mergeCell ref="W2:AC2"/>
    <mergeCell ref="AD2:AJ2"/>
    <mergeCell ref="AM2:AM3"/>
    <mergeCell ref="AN2:AN3"/>
  </mergeCells>
  <conditionalFormatting sqref="C9:C19">
    <cfRule type="containsText" dxfId="317" priority="314" operator="containsText" text="ONE">
      <formula>NOT(ISERROR(SEARCH("ONE",C9)))</formula>
    </cfRule>
    <cfRule type="containsText" dxfId="316" priority="315" operator="containsText" text="GEM">
      <formula>NOT(ISERROR(SEARCH("GEM",C9)))</formula>
    </cfRule>
    <cfRule type="containsText" dxfId="315" priority="316" operator="containsText" text="ANIMAX">
      <formula>NOT(ISERROR(SEARCH("ANIMAX",C9)))</formula>
    </cfRule>
    <cfRule type="containsText" dxfId="314" priority="317" operator="containsText" text="AXN TW">
      <formula>NOT(ISERROR(SEARCH("AXN TW",C9)))</formula>
    </cfRule>
    <cfRule type="containsText" dxfId="313" priority="318" operator="containsText" text="AXN">
      <formula>NOT(ISERROR(SEARCH("AXN",C9)))</formula>
    </cfRule>
  </conditionalFormatting>
  <conditionalFormatting sqref="E9:E19">
    <cfRule type="containsText" dxfId="312" priority="311" stopIfTrue="1" operator="containsText" text="Master">
      <formula>NOT(ISERROR(SEARCH("Master",E9)))</formula>
    </cfRule>
    <cfRule type="containsText" dxfId="311" priority="312" stopIfTrue="1" operator="containsText" text="Freelance Audio">
      <formula>NOT(ISERROR(SEARCH("Freelance Audio",E9)))</formula>
    </cfRule>
    <cfRule type="containsText" dxfId="310" priority="313" stopIfTrue="1" operator="containsText" text="Audio">
      <formula>NOT(ISERROR(SEARCH("Audio",E9)))</formula>
    </cfRule>
  </conditionalFormatting>
  <conditionalFormatting sqref="J9:J19">
    <cfRule type="containsText" dxfId="309" priority="306" operator="containsText" text="ONE">
      <formula>NOT(ISERROR(SEARCH("ONE",J9)))</formula>
    </cfRule>
    <cfRule type="containsText" dxfId="308" priority="307" operator="containsText" text="GEM">
      <formula>NOT(ISERROR(SEARCH("GEM",J9)))</formula>
    </cfRule>
    <cfRule type="containsText" dxfId="307" priority="308" operator="containsText" text="ANIMAX">
      <formula>NOT(ISERROR(SEARCH("ANIMAX",J9)))</formula>
    </cfRule>
    <cfRule type="containsText" dxfId="306" priority="309" operator="containsText" text="AXN TW">
      <formula>NOT(ISERROR(SEARCH("AXN TW",J9)))</formula>
    </cfRule>
    <cfRule type="containsText" dxfId="305" priority="310" operator="containsText" text="AXN">
      <formula>NOT(ISERROR(SEARCH("AXN",J9)))</formula>
    </cfRule>
  </conditionalFormatting>
  <conditionalFormatting sqref="L9:L19">
    <cfRule type="containsText" dxfId="304" priority="303" stopIfTrue="1" operator="containsText" text="Master">
      <formula>NOT(ISERROR(SEARCH("Master",L9)))</formula>
    </cfRule>
    <cfRule type="containsText" dxfId="303" priority="304" stopIfTrue="1" operator="containsText" text="Freelance Audio">
      <formula>NOT(ISERROR(SEARCH("Freelance Audio",L9)))</formula>
    </cfRule>
    <cfRule type="containsText" dxfId="302" priority="305" stopIfTrue="1" operator="containsText" text="Audio">
      <formula>NOT(ISERROR(SEARCH("Audio",L9)))</formula>
    </cfRule>
  </conditionalFormatting>
  <conditionalFormatting sqref="Q9:Q19">
    <cfRule type="containsText" dxfId="301" priority="298" operator="containsText" text="ONE">
      <formula>NOT(ISERROR(SEARCH("ONE",Q9)))</formula>
    </cfRule>
    <cfRule type="containsText" dxfId="300" priority="299" operator="containsText" text="GEM">
      <formula>NOT(ISERROR(SEARCH("GEM",Q9)))</formula>
    </cfRule>
    <cfRule type="containsText" dxfId="299" priority="300" operator="containsText" text="ANIMAX">
      <formula>NOT(ISERROR(SEARCH("ANIMAX",Q9)))</formula>
    </cfRule>
    <cfRule type="containsText" dxfId="298" priority="301" operator="containsText" text="AXN TW">
      <formula>NOT(ISERROR(SEARCH("AXN TW",Q9)))</formula>
    </cfRule>
    <cfRule type="containsText" dxfId="297" priority="302" operator="containsText" text="AXN">
      <formula>NOT(ISERROR(SEARCH("AXN",Q9)))</formula>
    </cfRule>
  </conditionalFormatting>
  <conditionalFormatting sqref="S9:S19">
    <cfRule type="containsText" dxfId="296" priority="295" stopIfTrue="1" operator="containsText" text="Master">
      <formula>NOT(ISERROR(SEARCH("Master",S9)))</formula>
    </cfRule>
    <cfRule type="containsText" dxfId="295" priority="296" stopIfTrue="1" operator="containsText" text="Freelance Audio">
      <formula>NOT(ISERROR(SEARCH("Freelance Audio",S9)))</formula>
    </cfRule>
    <cfRule type="containsText" dxfId="294" priority="297" stopIfTrue="1" operator="containsText" text="Audio">
      <formula>NOT(ISERROR(SEARCH("Audio",S9)))</formula>
    </cfRule>
  </conditionalFormatting>
  <conditionalFormatting sqref="X9:X19">
    <cfRule type="containsText" dxfId="293" priority="290" operator="containsText" text="ONE">
      <formula>NOT(ISERROR(SEARCH("ONE",X9)))</formula>
    </cfRule>
    <cfRule type="containsText" dxfId="292" priority="291" operator="containsText" text="GEM">
      <formula>NOT(ISERROR(SEARCH("GEM",X9)))</formula>
    </cfRule>
    <cfRule type="containsText" dxfId="291" priority="292" operator="containsText" text="ANIMAX">
      <formula>NOT(ISERROR(SEARCH("ANIMAX",X9)))</formula>
    </cfRule>
    <cfRule type="containsText" dxfId="290" priority="293" operator="containsText" text="AXN TW">
      <formula>NOT(ISERROR(SEARCH("AXN TW",X9)))</formula>
    </cfRule>
    <cfRule type="containsText" dxfId="289" priority="294" operator="containsText" text="AXN">
      <formula>NOT(ISERROR(SEARCH("AXN",X9)))</formula>
    </cfRule>
  </conditionalFormatting>
  <conditionalFormatting sqref="Z9:Z19">
    <cfRule type="containsText" dxfId="288" priority="287" stopIfTrue="1" operator="containsText" text="Master">
      <formula>NOT(ISERROR(SEARCH("Master",Z9)))</formula>
    </cfRule>
    <cfRule type="containsText" dxfId="287" priority="288" stopIfTrue="1" operator="containsText" text="Freelance Audio">
      <formula>NOT(ISERROR(SEARCH("Freelance Audio",Z9)))</formula>
    </cfRule>
    <cfRule type="containsText" dxfId="286" priority="289" stopIfTrue="1" operator="containsText" text="Audio">
      <formula>NOT(ISERROR(SEARCH("Audio",Z9)))</formula>
    </cfRule>
  </conditionalFormatting>
  <conditionalFormatting sqref="AE9:AE19">
    <cfRule type="containsText" dxfId="285" priority="282" operator="containsText" text="ONE">
      <formula>NOT(ISERROR(SEARCH("ONE",AE9)))</formula>
    </cfRule>
    <cfRule type="containsText" dxfId="284" priority="283" operator="containsText" text="GEM">
      <formula>NOT(ISERROR(SEARCH("GEM",AE9)))</formula>
    </cfRule>
    <cfRule type="containsText" dxfId="283" priority="284" operator="containsText" text="ANIMAX">
      <formula>NOT(ISERROR(SEARCH("ANIMAX",AE9)))</formula>
    </cfRule>
    <cfRule type="containsText" dxfId="282" priority="285" operator="containsText" text="AXN TW">
      <formula>NOT(ISERROR(SEARCH("AXN TW",AE9)))</formula>
    </cfRule>
    <cfRule type="containsText" dxfId="281" priority="286" operator="containsText" text="AXN">
      <formula>NOT(ISERROR(SEARCH("AXN",AE9)))</formula>
    </cfRule>
  </conditionalFormatting>
  <conditionalFormatting sqref="AG9:AG19">
    <cfRule type="containsText" dxfId="280" priority="279" stopIfTrue="1" operator="containsText" text="Master">
      <formula>NOT(ISERROR(SEARCH("Master",AG9)))</formula>
    </cfRule>
    <cfRule type="containsText" dxfId="279" priority="280" stopIfTrue="1" operator="containsText" text="Freelance Audio">
      <formula>NOT(ISERROR(SEARCH("Freelance Audio",AG9)))</formula>
    </cfRule>
    <cfRule type="containsText" dxfId="278" priority="281" stopIfTrue="1" operator="containsText" text="Audio">
      <formula>NOT(ISERROR(SEARCH("Audio",AG9)))</formula>
    </cfRule>
  </conditionalFormatting>
  <conditionalFormatting sqref="C21:C31">
    <cfRule type="containsText" dxfId="277" priority="274" operator="containsText" text="ONE">
      <formula>NOT(ISERROR(SEARCH("ONE",C21)))</formula>
    </cfRule>
    <cfRule type="containsText" dxfId="276" priority="275" operator="containsText" text="GEM">
      <formula>NOT(ISERROR(SEARCH("GEM",C21)))</formula>
    </cfRule>
    <cfRule type="containsText" dxfId="275" priority="276" operator="containsText" text="ANIMAX">
      <formula>NOT(ISERROR(SEARCH("ANIMAX",C21)))</formula>
    </cfRule>
    <cfRule type="containsText" dxfId="274" priority="277" operator="containsText" text="AXN TW">
      <formula>NOT(ISERROR(SEARCH("AXN TW",C21)))</formula>
    </cfRule>
    <cfRule type="containsText" dxfId="273" priority="278" operator="containsText" text="AXN">
      <formula>NOT(ISERROR(SEARCH("AXN",C21)))</formula>
    </cfRule>
  </conditionalFormatting>
  <conditionalFormatting sqref="E21:E31">
    <cfRule type="containsText" dxfId="272" priority="271" stopIfTrue="1" operator="containsText" text="Master">
      <formula>NOT(ISERROR(SEARCH("Master",E21)))</formula>
    </cfRule>
    <cfRule type="containsText" dxfId="271" priority="272" stopIfTrue="1" operator="containsText" text="Freelance Audio">
      <formula>NOT(ISERROR(SEARCH("Freelance Audio",E21)))</formula>
    </cfRule>
    <cfRule type="containsText" dxfId="270" priority="273" stopIfTrue="1" operator="containsText" text="Audio">
      <formula>NOT(ISERROR(SEARCH("Audio",E21)))</formula>
    </cfRule>
  </conditionalFormatting>
  <conditionalFormatting sqref="J21:J31">
    <cfRule type="containsText" dxfId="269" priority="266" operator="containsText" text="ONE">
      <formula>NOT(ISERROR(SEARCH("ONE",J21)))</formula>
    </cfRule>
    <cfRule type="containsText" dxfId="268" priority="267" operator="containsText" text="GEM">
      <formula>NOT(ISERROR(SEARCH("GEM",J21)))</formula>
    </cfRule>
    <cfRule type="containsText" dxfId="267" priority="268" operator="containsText" text="ANIMAX">
      <formula>NOT(ISERROR(SEARCH("ANIMAX",J21)))</formula>
    </cfRule>
    <cfRule type="containsText" dxfId="266" priority="269" operator="containsText" text="AXN TW">
      <formula>NOT(ISERROR(SEARCH("AXN TW",J21)))</formula>
    </cfRule>
    <cfRule type="containsText" dxfId="265" priority="270" operator="containsText" text="AXN">
      <formula>NOT(ISERROR(SEARCH("AXN",J21)))</formula>
    </cfRule>
  </conditionalFormatting>
  <conditionalFormatting sqref="L21:L31">
    <cfRule type="containsText" dxfId="264" priority="263" stopIfTrue="1" operator="containsText" text="Master">
      <formula>NOT(ISERROR(SEARCH("Master",L21)))</formula>
    </cfRule>
    <cfRule type="containsText" dxfId="263" priority="264" stopIfTrue="1" operator="containsText" text="Freelance Audio">
      <formula>NOT(ISERROR(SEARCH("Freelance Audio",L21)))</formula>
    </cfRule>
    <cfRule type="containsText" dxfId="262" priority="265" stopIfTrue="1" operator="containsText" text="Audio">
      <formula>NOT(ISERROR(SEARCH("Audio",L21)))</formula>
    </cfRule>
  </conditionalFormatting>
  <conditionalFormatting sqref="Q21:Q31">
    <cfRule type="containsText" dxfId="261" priority="258" operator="containsText" text="ONE">
      <formula>NOT(ISERROR(SEARCH("ONE",Q21)))</formula>
    </cfRule>
    <cfRule type="containsText" dxfId="260" priority="259" operator="containsText" text="GEM">
      <formula>NOT(ISERROR(SEARCH("GEM",Q21)))</formula>
    </cfRule>
    <cfRule type="containsText" dxfId="259" priority="260" operator="containsText" text="ANIMAX">
      <formula>NOT(ISERROR(SEARCH("ANIMAX",Q21)))</formula>
    </cfRule>
    <cfRule type="containsText" dxfId="258" priority="261" operator="containsText" text="AXN TW">
      <formula>NOT(ISERROR(SEARCH("AXN TW",Q21)))</formula>
    </cfRule>
    <cfRule type="containsText" dxfId="257" priority="262" operator="containsText" text="AXN">
      <formula>NOT(ISERROR(SEARCH("AXN",Q21)))</formula>
    </cfRule>
  </conditionalFormatting>
  <conditionalFormatting sqref="S21:S31">
    <cfRule type="containsText" dxfId="256" priority="255" stopIfTrue="1" operator="containsText" text="Master">
      <formula>NOT(ISERROR(SEARCH("Master",S21)))</formula>
    </cfRule>
    <cfRule type="containsText" dxfId="255" priority="256" stopIfTrue="1" operator="containsText" text="Freelance Audio">
      <formula>NOT(ISERROR(SEARCH("Freelance Audio",S21)))</formula>
    </cfRule>
    <cfRule type="containsText" dxfId="254" priority="257" stopIfTrue="1" operator="containsText" text="Audio">
      <formula>NOT(ISERROR(SEARCH("Audio",S21)))</formula>
    </cfRule>
  </conditionalFormatting>
  <conditionalFormatting sqref="X21:X31">
    <cfRule type="containsText" dxfId="253" priority="250" operator="containsText" text="ONE">
      <formula>NOT(ISERROR(SEARCH("ONE",X21)))</formula>
    </cfRule>
    <cfRule type="containsText" dxfId="252" priority="251" operator="containsText" text="GEM">
      <formula>NOT(ISERROR(SEARCH("GEM",X21)))</formula>
    </cfRule>
    <cfRule type="containsText" dxfId="251" priority="252" operator="containsText" text="ANIMAX">
      <formula>NOT(ISERROR(SEARCH("ANIMAX",X21)))</formula>
    </cfRule>
    <cfRule type="containsText" dxfId="250" priority="253" operator="containsText" text="AXN TW">
      <formula>NOT(ISERROR(SEARCH("AXN TW",X21)))</formula>
    </cfRule>
    <cfRule type="containsText" dxfId="249" priority="254" operator="containsText" text="AXN">
      <formula>NOT(ISERROR(SEARCH("AXN",X21)))</formula>
    </cfRule>
  </conditionalFormatting>
  <conditionalFormatting sqref="Z21:Z31">
    <cfRule type="containsText" dxfId="248" priority="247" stopIfTrue="1" operator="containsText" text="Master">
      <formula>NOT(ISERROR(SEARCH("Master",Z21)))</formula>
    </cfRule>
    <cfRule type="containsText" dxfId="247" priority="248" stopIfTrue="1" operator="containsText" text="Freelance Audio">
      <formula>NOT(ISERROR(SEARCH("Freelance Audio",Z21)))</formula>
    </cfRule>
    <cfRule type="containsText" dxfId="246" priority="249" stopIfTrue="1" operator="containsText" text="Audio">
      <formula>NOT(ISERROR(SEARCH("Audio",Z21)))</formula>
    </cfRule>
  </conditionalFormatting>
  <conditionalFormatting sqref="AE21:AE31">
    <cfRule type="containsText" dxfId="245" priority="242" operator="containsText" text="ONE">
      <formula>NOT(ISERROR(SEARCH("ONE",AE21)))</formula>
    </cfRule>
    <cfRule type="containsText" dxfId="244" priority="243" operator="containsText" text="GEM">
      <formula>NOT(ISERROR(SEARCH("GEM",AE21)))</formula>
    </cfRule>
    <cfRule type="containsText" dxfId="243" priority="244" operator="containsText" text="ANIMAX">
      <formula>NOT(ISERROR(SEARCH("ANIMAX",AE21)))</formula>
    </cfRule>
    <cfRule type="containsText" dxfId="242" priority="245" operator="containsText" text="AXN TW">
      <formula>NOT(ISERROR(SEARCH("AXN TW",AE21)))</formula>
    </cfRule>
    <cfRule type="containsText" dxfId="241" priority="246" operator="containsText" text="AXN">
      <formula>NOT(ISERROR(SEARCH("AXN",AE21)))</formula>
    </cfRule>
  </conditionalFormatting>
  <conditionalFormatting sqref="AG21:AG31">
    <cfRule type="containsText" dxfId="240" priority="239" stopIfTrue="1" operator="containsText" text="Master">
      <formula>NOT(ISERROR(SEARCH("Master",AG21)))</formula>
    </cfRule>
    <cfRule type="containsText" dxfId="239" priority="240" stopIfTrue="1" operator="containsText" text="Freelance Audio">
      <formula>NOT(ISERROR(SEARCH("Freelance Audio",AG21)))</formula>
    </cfRule>
    <cfRule type="containsText" dxfId="238" priority="241" stopIfTrue="1" operator="containsText" text="Audio">
      <formula>NOT(ISERROR(SEARCH("Audio",AG21)))</formula>
    </cfRule>
  </conditionalFormatting>
  <conditionalFormatting sqref="C33:C43">
    <cfRule type="containsText" dxfId="237" priority="234" operator="containsText" text="ONE">
      <formula>NOT(ISERROR(SEARCH("ONE",C33)))</formula>
    </cfRule>
    <cfRule type="containsText" dxfId="236" priority="235" operator="containsText" text="GEM">
      <formula>NOT(ISERROR(SEARCH("GEM",C33)))</formula>
    </cfRule>
    <cfRule type="containsText" dxfId="235" priority="236" operator="containsText" text="ANIMAX">
      <formula>NOT(ISERROR(SEARCH("ANIMAX",C33)))</formula>
    </cfRule>
    <cfRule type="containsText" dxfId="234" priority="237" operator="containsText" text="AXN TW">
      <formula>NOT(ISERROR(SEARCH("AXN TW",C33)))</formula>
    </cfRule>
    <cfRule type="containsText" dxfId="233" priority="238" operator="containsText" text="AXN">
      <formula>NOT(ISERROR(SEARCH("AXN",C33)))</formula>
    </cfRule>
  </conditionalFormatting>
  <conditionalFormatting sqref="E33:E43">
    <cfRule type="containsText" dxfId="232" priority="231" stopIfTrue="1" operator="containsText" text="Master">
      <formula>NOT(ISERROR(SEARCH("Master",E33)))</formula>
    </cfRule>
    <cfRule type="containsText" dxfId="231" priority="232" stopIfTrue="1" operator="containsText" text="Freelance Audio">
      <formula>NOT(ISERROR(SEARCH("Freelance Audio",E33)))</formula>
    </cfRule>
    <cfRule type="containsText" dxfId="230" priority="233" stopIfTrue="1" operator="containsText" text="Audio">
      <formula>NOT(ISERROR(SEARCH("Audio",E33)))</formula>
    </cfRule>
  </conditionalFormatting>
  <conditionalFormatting sqref="J33:J43">
    <cfRule type="containsText" dxfId="229" priority="226" operator="containsText" text="ONE">
      <formula>NOT(ISERROR(SEARCH("ONE",J33)))</formula>
    </cfRule>
    <cfRule type="containsText" dxfId="228" priority="227" operator="containsText" text="GEM">
      <formula>NOT(ISERROR(SEARCH("GEM",J33)))</formula>
    </cfRule>
    <cfRule type="containsText" dxfId="227" priority="228" operator="containsText" text="ANIMAX">
      <formula>NOT(ISERROR(SEARCH("ANIMAX",J33)))</formula>
    </cfRule>
    <cfRule type="containsText" dxfId="226" priority="229" operator="containsText" text="AXN TW">
      <formula>NOT(ISERROR(SEARCH("AXN TW",J33)))</formula>
    </cfRule>
    <cfRule type="containsText" dxfId="225" priority="230" operator="containsText" text="AXN">
      <formula>NOT(ISERROR(SEARCH("AXN",J33)))</formula>
    </cfRule>
  </conditionalFormatting>
  <conditionalFormatting sqref="L33:L43">
    <cfRule type="containsText" dxfId="224" priority="223" stopIfTrue="1" operator="containsText" text="Master">
      <formula>NOT(ISERROR(SEARCH("Master",L33)))</formula>
    </cfRule>
    <cfRule type="containsText" dxfId="223" priority="224" stopIfTrue="1" operator="containsText" text="Freelance Audio">
      <formula>NOT(ISERROR(SEARCH("Freelance Audio",L33)))</formula>
    </cfRule>
    <cfRule type="containsText" dxfId="222" priority="225" stopIfTrue="1" operator="containsText" text="Audio">
      <formula>NOT(ISERROR(SEARCH("Audio",L33)))</formula>
    </cfRule>
  </conditionalFormatting>
  <conditionalFormatting sqref="Q33:Q43">
    <cfRule type="containsText" dxfId="221" priority="218" operator="containsText" text="ONE">
      <formula>NOT(ISERROR(SEARCH("ONE",Q33)))</formula>
    </cfRule>
    <cfRule type="containsText" dxfId="220" priority="219" operator="containsText" text="GEM">
      <formula>NOT(ISERROR(SEARCH("GEM",Q33)))</formula>
    </cfRule>
    <cfRule type="containsText" dxfId="219" priority="220" operator="containsText" text="ANIMAX">
      <formula>NOT(ISERROR(SEARCH("ANIMAX",Q33)))</formula>
    </cfRule>
    <cfRule type="containsText" dxfId="218" priority="221" operator="containsText" text="AXN TW">
      <formula>NOT(ISERROR(SEARCH("AXN TW",Q33)))</formula>
    </cfRule>
    <cfRule type="containsText" dxfId="217" priority="222" operator="containsText" text="AXN">
      <formula>NOT(ISERROR(SEARCH("AXN",Q33)))</formula>
    </cfRule>
  </conditionalFormatting>
  <conditionalFormatting sqref="S33:S43">
    <cfRule type="containsText" dxfId="216" priority="215" stopIfTrue="1" operator="containsText" text="Master">
      <formula>NOT(ISERROR(SEARCH("Master",S33)))</formula>
    </cfRule>
    <cfRule type="containsText" dxfId="215" priority="216" stopIfTrue="1" operator="containsText" text="Freelance Audio">
      <formula>NOT(ISERROR(SEARCH("Freelance Audio",S33)))</formula>
    </cfRule>
    <cfRule type="containsText" dxfId="214" priority="217" stopIfTrue="1" operator="containsText" text="Audio">
      <formula>NOT(ISERROR(SEARCH("Audio",S33)))</formula>
    </cfRule>
  </conditionalFormatting>
  <conditionalFormatting sqref="X33:X43">
    <cfRule type="containsText" dxfId="213" priority="210" operator="containsText" text="ONE">
      <formula>NOT(ISERROR(SEARCH("ONE",X33)))</formula>
    </cfRule>
    <cfRule type="containsText" dxfId="212" priority="211" operator="containsText" text="GEM">
      <formula>NOT(ISERROR(SEARCH("GEM",X33)))</formula>
    </cfRule>
    <cfRule type="containsText" dxfId="211" priority="212" operator="containsText" text="ANIMAX">
      <formula>NOT(ISERROR(SEARCH("ANIMAX",X33)))</formula>
    </cfRule>
    <cfRule type="containsText" dxfId="210" priority="213" operator="containsText" text="AXN TW">
      <formula>NOT(ISERROR(SEARCH("AXN TW",X33)))</formula>
    </cfRule>
    <cfRule type="containsText" dxfId="209" priority="214" operator="containsText" text="AXN">
      <formula>NOT(ISERROR(SEARCH("AXN",X33)))</formula>
    </cfRule>
  </conditionalFormatting>
  <conditionalFormatting sqref="Z33:Z43">
    <cfRule type="containsText" dxfId="208" priority="207" stopIfTrue="1" operator="containsText" text="Master">
      <formula>NOT(ISERROR(SEARCH("Master",Z33)))</formula>
    </cfRule>
    <cfRule type="containsText" dxfId="207" priority="208" stopIfTrue="1" operator="containsText" text="Freelance Audio">
      <formula>NOT(ISERROR(SEARCH("Freelance Audio",Z33)))</formula>
    </cfRule>
    <cfRule type="containsText" dxfId="206" priority="209" stopIfTrue="1" operator="containsText" text="Audio">
      <formula>NOT(ISERROR(SEARCH("Audio",Z33)))</formula>
    </cfRule>
  </conditionalFormatting>
  <conditionalFormatting sqref="AE33:AE43">
    <cfRule type="containsText" dxfId="205" priority="202" operator="containsText" text="ONE">
      <formula>NOT(ISERROR(SEARCH("ONE",AE33)))</formula>
    </cfRule>
    <cfRule type="containsText" dxfId="204" priority="203" operator="containsText" text="GEM">
      <formula>NOT(ISERROR(SEARCH("GEM",AE33)))</formula>
    </cfRule>
    <cfRule type="containsText" dxfId="203" priority="204" operator="containsText" text="ANIMAX">
      <formula>NOT(ISERROR(SEARCH("ANIMAX",AE33)))</formula>
    </cfRule>
    <cfRule type="containsText" dxfId="202" priority="205" operator="containsText" text="AXN TW">
      <formula>NOT(ISERROR(SEARCH("AXN TW",AE33)))</formula>
    </cfRule>
    <cfRule type="containsText" dxfId="201" priority="206" operator="containsText" text="AXN">
      <formula>NOT(ISERROR(SEARCH("AXN",AE33)))</formula>
    </cfRule>
  </conditionalFormatting>
  <conditionalFormatting sqref="AG33:AG43">
    <cfRule type="containsText" dxfId="200" priority="199" stopIfTrue="1" operator="containsText" text="Master">
      <formula>NOT(ISERROR(SEARCH("Master",AG33)))</formula>
    </cfRule>
    <cfRule type="containsText" dxfId="199" priority="200" stopIfTrue="1" operator="containsText" text="Freelance Audio">
      <formula>NOT(ISERROR(SEARCH("Freelance Audio",AG33)))</formula>
    </cfRule>
    <cfRule type="containsText" dxfId="198" priority="201" stopIfTrue="1" operator="containsText" text="Audio">
      <formula>NOT(ISERROR(SEARCH("Audio",AG33)))</formula>
    </cfRule>
  </conditionalFormatting>
  <conditionalFormatting sqref="C45:C55">
    <cfRule type="containsText" dxfId="197" priority="194" operator="containsText" text="ONE">
      <formula>NOT(ISERROR(SEARCH("ONE",C45)))</formula>
    </cfRule>
    <cfRule type="containsText" dxfId="196" priority="195" operator="containsText" text="GEM">
      <formula>NOT(ISERROR(SEARCH("GEM",C45)))</formula>
    </cfRule>
    <cfRule type="containsText" dxfId="195" priority="196" operator="containsText" text="ANIMAX">
      <formula>NOT(ISERROR(SEARCH("ANIMAX",C45)))</formula>
    </cfRule>
    <cfRule type="containsText" dxfId="194" priority="197" operator="containsText" text="AXN TW">
      <formula>NOT(ISERROR(SEARCH("AXN TW",C45)))</formula>
    </cfRule>
    <cfRule type="containsText" dxfId="193" priority="198" operator="containsText" text="AXN">
      <formula>NOT(ISERROR(SEARCH("AXN",C45)))</formula>
    </cfRule>
  </conditionalFormatting>
  <conditionalFormatting sqref="E45:E55">
    <cfRule type="containsText" dxfId="192" priority="191" stopIfTrue="1" operator="containsText" text="Master">
      <formula>NOT(ISERROR(SEARCH("Master",E45)))</formula>
    </cfRule>
    <cfRule type="containsText" dxfId="191" priority="192" stopIfTrue="1" operator="containsText" text="Freelance Audio">
      <formula>NOT(ISERROR(SEARCH("Freelance Audio",E45)))</formula>
    </cfRule>
    <cfRule type="containsText" dxfId="190" priority="193" stopIfTrue="1" operator="containsText" text="Audio">
      <formula>NOT(ISERROR(SEARCH("Audio",E45)))</formula>
    </cfRule>
  </conditionalFormatting>
  <conditionalFormatting sqref="J45:J55">
    <cfRule type="containsText" dxfId="189" priority="186" operator="containsText" text="ONE">
      <formula>NOT(ISERROR(SEARCH("ONE",J45)))</formula>
    </cfRule>
    <cfRule type="containsText" dxfId="188" priority="187" operator="containsText" text="GEM">
      <formula>NOT(ISERROR(SEARCH("GEM",J45)))</formula>
    </cfRule>
    <cfRule type="containsText" dxfId="187" priority="188" operator="containsText" text="ANIMAX">
      <formula>NOT(ISERROR(SEARCH("ANIMAX",J45)))</formula>
    </cfRule>
    <cfRule type="containsText" dxfId="186" priority="189" operator="containsText" text="AXN TW">
      <formula>NOT(ISERROR(SEARCH("AXN TW",J45)))</formula>
    </cfRule>
    <cfRule type="containsText" dxfId="185" priority="190" operator="containsText" text="AXN">
      <formula>NOT(ISERROR(SEARCH("AXN",J45)))</formula>
    </cfRule>
  </conditionalFormatting>
  <conditionalFormatting sqref="L45:L55">
    <cfRule type="containsText" dxfId="184" priority="183" stopIfTrue="1" operator="containsText" text="Master">
      <formula>NOT(ISERROR(SEARCH("Master",L45)))</formula>
    </cfRule>
    <cfRule type="containsText" dxfId="183" priority="184" stopIfTrue="1" operator="containsText" text="Freelance Audio">
      <formula>NOT(ISERROR(SEARCH("Freelance Audio",L45)))</formula>
    </cfRule>
    <cfRule type="containsText" dxfId="182" priority="185" stopIfTrue="1" operator="containsText" text="Audio">
      <formula>NOT(ISERROR(SEARCH("Audio",L45)))</formula>
    </cfRule>
  </conditionalFormatting>
  <conditionalFormatting sqref="Q45:Q55">
    <cfRule type="containsText" dxfId="181" priority="178" operator="containsText" text="ONE">
      <formula>NOT(ISERROR(SEARCH("ONE",Q45)))</formula>
    </cfRule>
    <cfRule type="containsText" dxfId="180" priority="179" operator="containsText" text="GEM">
      <formula>NOT(ISERROR(SEARCH("GEM",Q45)))</formula>
    </cfRule>
    <cfRule type="containsText" dxfId="179" priority="180" operator="containsText" text="ANIMAX">
      <formula>NOT(ISERROR(SEARCH("ANIMAX",Q45)))</formula>
    </cfRule>
    <cfRule type="containsText" dxfId="178" priority="181" operator="containsText" text="AXN TW">
      <formula>NOT(ISERROR(SEARCH("AXN TW",Q45)))</formula>
    </cfRule>
    <cfRule type="containsText" dxfId="177" priority="182" operator="containsText" text="AXN">
      <formula>NOT(ISERROR(SEARCH("AXN",Q45)))</formula>
    </cfRule>
  </conditionalFormatting>
  <conditionalFormatting sqref="S45:S55">
    <cfRule type="containsText" dxfId="176" priority="175" stopIfTrue="1" operator="containsText" text="Master">
      <formula>NOT(ISERROR(SEARCH("Master",S45)))</formula>
    </cfRule>
    <cfRule type="containsText" dxfId="175" priority="176" stopIfTrue="1" operator="containsText" text="Freelance Audio">
      <formula>NOT(ISERROR(SEARCH("Freelance Audio",S45)))</formula>
    </cfRule>
    <cfRule type="containsText" dxfId="174" priority="177" stopIfTrue="1" operator="containsText" text="Audio">
      <formula>NOT(ISERROR(SEARCH("Audio",S45)))</formula>
    </cfRule>
  </conditionalFormatting>
  <conditionalFormatting sqref="X45:X55">
    <cfRule type="containsText" dxfId="173" priority="170" operator="containsText" text="ONE">
      <formula>NOT(ISERROR(SEARCH("ONE",X45)))</formula>
    </cfRule>
    <cfRule type="containsText" dxfId="172" priority="171" operator="containsText" text="GEM">
      <formula>NOT(ISERROR(SEARCH("GEM",X45)))</formula>
    </cfRule>
    <cfRule type="containsText" dxfId="171" priority="172" operator="containsText" text="ANIMAX">
      <formula>NOT(ISERROR(SEARCH("ANIMAX",X45)))</formula>
    </cfRule>
    <cfRule type="containsText" dxfId="170" priority="173" operator="containsText" text="AXN TW">
      <formula>NOT(ISERROR(SEARCH("AXN TW",X45)))</formula>
    </cfRule>
    <cfRule type="containsText" dxfId="169" priority="174" operator="containsText" text="AXN">
      <formula>NOT(ISERROR(SEARCH("AXN",X45)))</formula>
    </cfRule>
  </conditionalFormatting>
  <conditionalFormatting sqref="Z45:Z55">
    <cfRule type="containsText" dxfId="168" priority="167" stopIfTrue="1" operator="containsText" text="Master">
      <formula>NOT(ISERROR(SEARCH("Master",Z45)))</formula>
    </cfRule>
    <cfRule type="containsText" dxfId="167" priority="168" stopIfTrue="1" operator="containsText" text="Freelance Audio">
      <formula>NOT(ISERROR(SEARCH("Freelance Audio",Z45)))</formula>
    </cfRule>
    <cfRule type="containsText" dxfId="166" priority="169" stopIfTrue="1" operator="containsText" text="Audio">
      <formula>NOT(ISERROR(SEARCH("Audio",Z45)))</formula>
    </cfRule>
  </conditionalFormatting>
  <conditionalFormatting sqref="AE45:AE55">
    <cfRule type="containsText" dxfId="165" priority="162" operator="containsText" text="ONE">
      <formula>NOT(ISERROR(SEARCH("ONE",AE45)))</formula>
    </cfRule>
    <cfRule type="containsText" dxfId="164" priority="163" operator="containsText" text="GEM">
      <formula>NOT(ISERROR(SEARCH("GEM",AE45)))</formula>
    </cfRule>
    <cfRule type="containsText" dxfId="163" priority="164" operator="containsText" text="ANIMAX">
      <formula>NOT(ISERROR(SEARCH("ANIMAX",AE45)))</formula>
    </cfRule>
    <cfRule type="containsText" dxfId="162" priority="165" operator="containsText" text="AXN TW">
      <formula>NOT(ISERROR(SEARCH("AXN TW",AE45)))</formula>
    </cfRule>
    <cfRule type="containsText" dxfId="161" priority="166" operator="containsText" text="AXN">
      <formula>NOT(ISERROR(SEARCH("AXN",AE45)))</formula>
    </cfRule>
  </conditionalFormatting>
  <conditionalFormatting sqref="AG45:AG55">
    <cfRule type="containsText" dxfId="160" priority="159" stopIfTrue="1" operator="containsText" text="Master">
      <formula>NOT(ISERROR(SEARCH("Master",AG45)))</formula>
    </cfRule>
    <cfRule type="containsText" dxfId="159" priority="160" stopIfTrue="1" operator="containsText" text="Freelance Audio">
      <formula>NOT(ISERROR(SEARCH("Freelance Audio",AG45)))</formula>
    </cfRule>
    <cfRule type="containsText" dxfId="158" priority="161" stopIfTrue="1" operator="containsText" text="Audio">
      <formula>NOT(ISERROR(SEARCH("Audio",AG45)))</formula>
    </cfRule>
  </conditionalFormatting>
  <conditionalFormatting sqref="C57:C67">
    <cfRule type="containsText" dxfId="157" priority="154" operator="containsText" text="ONE">
      <formula>NOT(ISERROR(SEARCH("ONE",C57)))</formula>
    </cfRule>
    <cfRule type="containsText" dxfId="156" priority="155" operator="containsText" text="GEM">
      <formula>NOT(ISERROR(SEARCH("GEM",C57)))</formula>
    </cfRule>
    <cfRule type="containsText" dxfId="155" priority="156" operator="containsText" text="ANIMAX">
      <formula>NOT(ISERROR(SEARCH("ANIMAX",C57)))</formula>
    </cfRule>
    <cfRule type="containsText" dxfId="154" priority="157" operator="containsText" text="AXN TW">
      <formula>NOT(ISERROR(SEARCH("AXN TW",C57)))</formula>
    </cfRule>
    <cfRule type="containsText" dxfId="153" priority="158" operator="containsText" text="AXN">
      <formula>NOT(ISERROR(SEARCH("AXN",C57)))</formula>
    </cfRule>
  </conditionalFormatting>
  <conditionalFormatting sqref="E57:E67">
    <cfRule type="containsText" dxfId="152" priority="151" stopIfTrue="1" operator="containsText" text="Master">
      <formula>NOT(ISERROR(SEARCH("Master",E57)))</formula>
    </cfRule>
    <cfRule type="containsText" dxfId="151" priority="152" stopIfTrue="1" operator="containsText" text="Freelance Audio">
      <formula>NOT(ISERROR(SEARCH("Freelance Audio",E57)))</formula>
    </cfRule>
    <cfRule type="containsText" dxfId="150" priority="153" stopIfTrue="1" operator="containsText" text="Audio">
      <formula>NOT(ISERROR(SEARCH("Audio",E57)))</formula>
    </cfRule>
  </conditionalFormatting>
  <conditionalFormatting sqref="J57:J67">
    <cfRule type="containsText" dxfId="149" priority="146" operator="containsText" text="ONE">
      <formula>NOT(ISERROR(SEARCH("ONE",J57)))</formula>
    </cfRule>
    <cfRule type="containsText" dxfId="148" priority="147" operator="containsText" text="GEM">
      <formula>NOT(ISERROR(SEARCH("GEM",J57)))</formula>
    </cfRule>
    <cfRule type="containsText" dxfId="147" priority="148" operator="containsText" text="ANIMAX">
      <formula>NOT(ISERROR(SEARCH("ANIMAX",J57)))</formula>
    </cfRule>
    <cfRule type="containsText" dxfId="146" priority="149" operator="containsText" text="AXN TW">
      <formula>NOT(ISERROR(SEARCH("AXN TW",J57)))</formula>
    </cfRule>
    <cfRule type="containsText" dxfId="145" priority="150" operator="containsText" text="AXN">
      <formula>NOT(ISERROR(SEARCH("AXN",J57)))</formula>
    </cfRule>
  </conditionalFormatting>
  <conditionalFormatting sqref="L57:L67">
    <cfRule type="containsText" dxfId="144" priority="143" stopIfTrue="1" operator="containsText" text="Master">
      <formula>NOT(ISERROR(SEARCH("Master",L57)))</formula>
    </cfRule>
    <cfRule type="containsText" dxfId="143" priority="144" stopIfTrue="1" operator="containsText" text="Freelance Audio">
      <formula>NOT(ISERROR(SEARCH("Freelance Audio",L57)))</formula>
    </cfRule>
    <cfRule type="containsText" dxfId="142" priority="145" stopIfTrue="1" operator="containsText" text="Audio">
      <formula>NOT(ISERROR(SEARCH("Audio",L57)))</formula>
    </cfRule>
  </conditionalFormatting>
  <conditionalFormatting sqref="Q57:Q67">
    <cfRule type="containsText" dxfId="141" priority="138" operator="containsText" text="ONE">
      <formula>NOT(ISERROR(SEARCH("ONE",Q57)))</formula>
    </cfRule>
    <cfRule type="containsText" dxfId="140" priority="139" operator="containsText" text="GEM">
      <formula>NOT(ISERROR(SEARCH("GEM",Q57)))</formula>
    </cfRule>
    <cfRule type="containsText" dxfId="139" priority="140" operator="containsText" text="ANIMAX">
      <formula>NOT(ISERROR(SEARCH("ANIMAX",Q57)))</formula>
    </cfRule>
    <cfRule type="containsText" dxfId="138" priority="141" operator="containsText" text="AXN TW">
      <formula>NOT(ISERROR(SEARCH("AXN TW",Q57)))</formula>
    </cfRule>
    <cfRule type="containsText" dxfId="137" priority="142" operator="containsText" text="AXN">
      <formula>NOT(ISERROR(SEARCH("AXN",Q57)))</formula>
    </cfRule>
  </conditionalFormatting>
  <conditionalFormatting sqref="S57:S67">
    <cfRule type="containsText" dxfId="136" priority="135" stopIfTrue="1" operator="containsText" text="Master">
      <formula>NOT(ISERROR(SEARCH("Master",S57)))</formula>
    </cfRule>
    <cfRule type="containsText" dxfId="135" priority="136" stopIfTrue="1" operator="containsText" text="Freelance Audio">
      <formula>NOT(ISERROR(SEARCH("Freelance Audio",S57)))</formula>
    </cfRule>
    <cfRule type="containsText" dxfId="134" priority="137" stopIfTrue="1" operator="containsText" text="Audio">
      <formula>NOT(ISERROR(SEARCH("Audio",S57)))</formula>
    </cfRule>
  </conditionalFormatting>
  <conditionalFormatting sqref="X57:X67">
    <cfRule type="containsText" dxfId="133" priority="130" operator="containsText" text="ONE">
      <formula>NOT(ISERROR(SEARCH("ONE",X57)))</formula>
    </cfRule>
    <cfRule type="containsText" dxfId="132" priority="131" operator="containsText" text="GEM">
      <formula>NOT(ISERROR(SEARCH("GEM",X57)))</formula>
    </cfRule>
    <cfRule type="containsText" dxfId="131" priority="132" operator="containsText" text="ANIMAX">
      <formula>NOT(ISERROR(SEARCH("ANIMAX",X57)))</formula>
    </cfRule>
    <cfRule type="containsText" dxfId="130" priority="133" operator="containsText" text="AXN TW">
      <formula>NOT(ISERROR(SEARCH("AXN TW",X57)))</formula>
    </cfRule>
    <cfRule type="containsText" dxfId="129" priority="134" operator="containsText" text="AXN">
      <formula>NOT(ISERROR(SEARCH("AXN",X57)))</formula>
    </cfRule>
  </conditionalFormatting>
  <conditionalFormatting sqref="Z57:Z67">
    <cfRule type="containsText" dxfId="128" priority="127" stopIfTrue="1" operator="containsText" text="Master">
      <formula>NOT(ISERROR(SEARCH("Master",Z57)))</formula>
    </cfRule>
    <cfRule type="containsText" dxfId="127" priority="128" stopIfTrue="1" operator="containsText" text="Freelance Audio">
      <formula>NOT(ISERROR(SEARCH("Freelance Audio",Z57)))</formula>
    </cfRule>
    <cfRule type="containsText" dxfId="126" priority="129" stopIfTrue="1" operator="containsText" text="Audio">
      <formula>NOT(ISERROR(SEARCH("Audio",Z57)))</formula>
    </cfRule>
  </conditionalFormatting>
  <conditionalFormatting sqref="AE57:AE67">
    <cfRule type="containsText" dxfId="125" priority="122" operator="containsText" text="ONE">
      <formula>NOT(ISERROR(SEARCH("ONE",AE57)))</formula>
    </cfRule>
    <cfRule type="containsText" dxfId="124" priority="123" operator="containsText" text="GEM">
      <formula>NOT(ISERROR(SEARCH("GEM",AE57)))</formula>
    </cfRule>
    <cfRule type="containsText" dxfId="123" priority="124" operator="containsText" text="ANIMAX">
      <formula>NOT(ISERROR(SEARCH("ANIMAX",AE57)))</formula>
    </cfRule>
    <cfRule type="containsText" dxfId="122" priority="125" operator="containsText" text="AXN TW">
      <formula>NOT(ISERROR(SEARCH("AXN TW",AE57)))</formula>
    </cfRule>
    <cfRule type="containsText" dxfId="121" priority="126" operator="containsText" text="AXN">
      <formula>NOT(ISERROR(SEARCH("AXN",AE57)))</formula>
    </cfRule>
  </conditionalFormatting>
  <conditionalFormatting sqref="AG57:AG67">
    <cfRule type="containsText" dxfId="120" priority="119" stopIfTrue="1" operator="containsText" text="Master">
      <formula>NOT(ISERROR(SEARCH("Master",AG57)))</formula>
    </cfRule>
    <cfRule type="containsText" dxfId="119" priority="120" stopIfTrue="1" operator="containsText" text="Freelance Audio">
      <formula>NOT(ISERROR(SEARCH("Freelance Audio",AG57)))</formula>
    </cfRule>
    <cfRule type="containsText" dxfId="118" priority="121" stopIfTrue="1" operator="containsText" text="Audio">
      <formula>NOT(ISERROR(SEARCH("Audio",AG57)))</formula>
    </cfRule>
  </conditionalFormatting>
  <conditionalFormatting sqref="C69:C79">
    <cfRule type="containsText" dxfId="117" priority="114" operator="containsText" text="ONE">
      <formula>NOT(ISERROR(SEARCH("ONE",C69)))</formula>
    </cfRule>
    <cfRule type="containsText" dxfId="116" priority="115" operator="containsText" text="GEM">
      <formula>NOT(ISERROR(SEARCH("GEM",C69)))</formula>
    </cfRule>
    <cfRule type="containsText" dxfId="115" priority="116" operator="containsText" text="ANIMAX">
      <formula>NOT(ISERROR(SEARCH("ANIMAX",C69)))</formula>
    </cfRule>
    <cfRule type="containsText" dxfId="114" priority="117" operator="containsText" text="AXN TW">
      <formula>NOT(ISERROR(SEARCH("AXN TW",C69)))</formula>
    </cfRule>
    <cfRule type="containsText" dxfId="113" priority="118" operator="containsText" text="AXN">
      <formula>NOT(ISERROR(SEARCH("AXN",C69)))</formula>
    </cfRule>
  </conditionalFormatting>
  <conditionalFormatting sqref="E69:E79">
    <cfRule type="containsText" dxfId="112" priority="111" stopIfTrue="1" operator="containsText" text="Master">
      <formula>NOT(ISERROR(SEARCH("Master",E69)))</formula>
    </cfRule>
    <cfRule type="containsText" dxfId="111" priority="112" stopIfTrue="1" operator="containsText" text="Freelance Audio">
      <formula>NOT(ISERROR(SEARCH("Freelance Audio",E69)))</formula>
    </cfRule>
    <cfRule type="containsText" dxfId="110" priority="113" stopIfTrue="1" operator="containsText" text="Audio">
      <formula>NOT(ISERROR(SEARCH("Audio",E69)))</formula>
    </cfRule>
  </conditionalFormatting>
  <conditionalFormatting sqref="J69:J79">
    <cfRule type="containsText" dxfId="109" priority="106" operator="containsText" text="ONE">
      <formula>NOT(ISERROR(SEARCH("ONE",J69)))</formula>
    </cfRule>
    <cfRule type="containsText" dxfId="108" priority="107" operator="containsText" text="GEM">
      <formula>NOT(ISERROR(SEARCH("GEM",J69)))</formula>
    </cfRule>
    <cfRule type="containsText" dxfId="107" priority="108" operator="containsText" text="ANIMAX">
      <formula>NOT(ISERROR(SEARCH("ANIMAX",J69)))</formula>
    </cfRule>
    <cfRule type="containsText" dxfId="106" priority="109" operator="containsText" text="AXN TW">
      <formula>NOT(ISERROR(SEARCH("AXN TW",J69)))</formula>
    </cfRule>
    <cfRule type="containsText" dxfId="105" priority="110" operator="containsText" text="AXN">
      <formula>NOT(ISERROR(SEARCH("AXN",J69)))</formula>
    </cfRule>
  </conditionalFormatting>
  <conditionalFormatting sqref="L69:L79">
    <cfRule type="containsText" dxfId="104" priority="103" stopIfTrue="1" operator="containsText" text="Master">
      <formula>NOT(ISERROR(SEARCH("Master",L69)))</formula>
    </cfRule>
    <cfRule type="containsText" dxfId="103" priority="104" stopIfTrue="1" operator="containsText" text="Freelance Audio">
      <formula>NOT(ISERROR(SEARCH("Freelance Audio",L69)))</formula>
    </cfRule>
    <cfRule type="containsText" dxfId="102" priority="105" stopIfTrue="1" operator="containsText" text="Audio">
      <formula>NOT(ISERROR(SEARCH("Audio",L69)))</formula>
    </cfRule>
  </conditionalFormatting>
  <conditionalFormatting sqref="Q69:Q79">
    <cfRule type="containsText" dxfId="101" priority="98" operator="containsText" text="ONE">
      <formula>NOT(ISERROR(SEARCH("ONE",Q69)))</formula>
    </cfRule>
    <cfRule type="containsText" dxfId="100" priority="99" operator="containsText" text="GEM">
      <formula>NOT(ISERROR(SEARCH("GEM",Q69)))</formula>
    </cfRule>
    <cfRule type="containsText" dxfId="99" priority="100" operator="containsText" text="ANIMAX">
      <formula>NOT(ISERROR(SEARCH("ANIMAX",Q69)))</formula>
    </cfRule>
    <cfRule type="containsText" dxfId="98" priority="101" operator="containsText" text="AXN TW">
      <formula>NOT(ISERROR(SEARCH("AXN TW",Q69)))</formula>
    </cfRule>
    <cfRule type="containsText" dxfId="97" priority="102" operator="containsText" text="AXN">
      <formula>NOT(ISERROR(SEARCH("AXN",Q69)))</formula>
    </cfRule>
  </conditionalFormatting>
  <conditionalFormatting sqref="S69:S79">
    <cfRule type="containsText" dxfId="96" priority="95" stopIfTrue="1" operator="containsText" text="Master">
      <formula>NOT(ISERROR(SEARCH("Master",S69)))</formula>
    </cfRule>
    <cfRule type="containsText" dxfId="95" priority="96" stopIfTrue="1" operator="containsText" text="Freelance Audio">
      <formula>NOT(ISERROR(SEARCH("Freelance Audio",S69)))</formula>
    </cfRule>
    <cfRule type="containsText" dxfId="94" priority="97" stopIfTrue="1" operator="containsText" text="Audio">
      <formula>NOT(ISERROR(SEARCH("Audio",S69)))</formula>
    </cfRule>
  </conditionalFormatting>
  <conditionalFormatting sqref="X69:X79">
    <cfRule type="containsText" dxfId="93" priority="90" operator="containsText" text="ONE">
      <formula>NOT(ISERROR(SEARCH("ONE",X69)))</formula>
    </cfRule>
    <cfRule type="containsText" dxfId="92" priority="91" operator="containsText" text="GEM">
      <formula>NOT(ISERROR(SEARCH("GEM",X69)))</formula>
    </cfRule>
    <cfRule type="containsText" dxfId="91" priority="92" operator="containsText" text="ANIMAX">
      <formula>NOT(ISERROR(SEARCH("ANIMAX",X69)))</formula>
    </cfRule>
    <cfRule type="containsText" dxfId="90" priority="93" operator="containsText" text="AXN TW">
      <formula>NOT(ISERROR(SEARCH("AXN TW",X69)))</formula>
    </cfRule>
    <cfRule type="containsText" dxfId="89" priority="94" operator="containsText" text="AXN">
      <formula>NOT(ISERROR(SEARCH("AXN",X69)))</formula>
    </cfRule>
  </conditionalFormatting>
  <conditionalFormatting sqref="Z69:Z79">
    <cfRule type="containsText" dxfId="88" priority="87" stopIfTrue="1" operator="containsText" text="Master">
      <formula>NOT(ISERROR(SEARCH("Master",Z69)))</formula>
    </cfRule>
    <cfRule type="containsText" dxfId="87" priority="88" stopIfTrue="1" operator="containsText" text="Freelance Audio">
      <formula>NOT(ISERROR(SEARCH("Freelance Audio",Z69)))</formula>
    </cfRule>
    <cfRule type="containsText" dxfId="86" priority="89" stopIfTrue="1" operator="containsText" text="Audio">
      <formula>NOT(ISERROR(SEARCH("Audio",Z69)))</formula>
    </cfRule>
  </conditionalFormatting>
  <conditionalFormatting sqref="AE69:AE79">
    <cfRule type="containsText" dxfId="85" priority="82" operator="containsText" text="ONE">
      <formula>NOT(ISERROR(SEARCH("ONE",AE69)))</formula>
    </cfRule>
    <cfRule type="containsText" dxfId="84" priority="83" operator="containsText" text="GEM">
      <formula>NOT(ISERROR(SEARCH("GEM",AE69)))</formula>
    </cfRule>
    <cfRule type="containsText" dxfId="83" priority="84" operator="containsText" text="ANIMAX">
      <formula>NOT(ISERROR(SEARCH("ANIMAX",AE69)))</formula>
    </cfRule>
    <cfRule type="containsText" dxfId="82" priority="85" operator="containsText" text="AXN TW">
      <formula>NOT(ISERROR(SEARCH("AXN TW",AE69)))</formula>
    </cfRule>
    <cfRule type="containsText" dxfId="81" priority="86" operator="containsText" text="AXN">
      <formula>NOT(ISERROR(SEARCH("AXN",AE69)))</formula>
    </cfRule>
  </conditionalFormatting>
  <conditionalFormatting sqref="AG69:AG79">
    <cfRule type="containsText" dxfId="80" priority="79" stopIfTrue="1" operator="containsText" text="Master">
      <formula>NOT(ISERROR(SEARCH("Master",AG69)))</formula>
    </cfRule>
    <cfRule type="containsText" dxfId="79" priority="80" stopIfTrue="1" operator="containsText" text="Freelance Audio">
      <formula>NOT(ISERROR(SEARCH("Freelance Audio",AG69)))</formula>
    </cfRule>
    <cfRule type="containsText" dxfId="78" priority="81" stopIfTrue="1" operator="containsText" text="Audio">
      <formula>NOT(ISERROR(SEARCH("Audio",AG69)))</formula>
    </cfRule>
  </conditionalFormatting>
  <conditionalFormatting sqref="H20 H32 H44 H56 H68 O68 O56 O44 O32 O20 O8 V8 V20 V32 V44 V56 V68 AC68 AC56 AC44 AC32 AC20 AC8 AJ8 AJ20 AJ32 AJ44 AJ56 AJ68">
    <cfRule type="expression" dxfId="77" priority="1">
      <formula>MONTH(H8)&lt;&gt;$AN$5</formula>
    </cfRule>
  </conditionalFormatting>
  <conditionalFormatting sqref="H8">
    <cfRule type="expression" dxfId="76" priority="59">
      <formula>MONTH(H8)&lt;&gt;$AN$5</formula>
    </cfRule>
  </conditionalFormatting>
  <conditionalFormatting sqref="B9:H19 B8">
    <cfRule type="expression" dxfId="75" priority="29">
      <formula>MONTH($H$8)&lt;&gt;$AN$5</formula>
    </cfRule>
  </conditionalFormatting>
  <conditionalFormatting sqref="I9:O19 I8">
    <cfRule type="expression" dxfId="74" priority="30">
      <formula>MONTH($O$8)&lt;&gt;$AN$5</formula>
    </cfRule>
  </conditionalFormatting>
  <conditionalFormatting sqref="P9:V19 P8">
    <cfRule type="expression" dxfId="73" priority="28">
      <formula>MONTH($V$8)&lt;&gt;$AN$5</formula>
    </cfRule>
  </conditionalFormatting>
  <conditionalFormatting sqref="AD9:AJ19 AD8">
    <cfRule type="expression" dxfId="72" priority="26">
      <formula>MONTH($AJ$8)&lt;&gt;$AN$5</formula>
    </cfRule>
  </conditionalFormatting>
  <conditionalFormatting sqref="W9:AC19 W8">
    <cfRule type="expression" dxfId="71" priority="27">
      <formula>MONTH($AC$8)&lt;&gt;$AN$5</formula>
    </cfRule>
  </conditionalFormatting>
  <conditionalFormatting sqref="AD69:AJ79 AD68">
    <cfRule type="expression" dxfId="70" priority="6">
      <formula>MONTH($AJ$68)&lt;&gt;$AN$5</formula>
    </cfRule>
  </conditionalFormatting>
  <conditionalFormatting sqref="W69:AC79 W68">
    <cfRule type="expression" dxfId="69" priority="5">
      <formula>MONTH($AC$68)&lt;&gt;$AN$5</formula>
    </cfRule>
  </conditionalFormatting>
  <conditionalFormatting sqref="P69:V79 P68">
    <cfRule type="expression" dxfId="68" priority="4">
      <formula>MONTH($V$68)&lt;&gt;$AN$5</formula>
    </cfRule>
  </conditionalFormatting>
  <conditionalFormatting sqref="I69:O79 I68">
    <cfRule type="expression" dxfId="67" priority="3">
      <formula>MONTH($O$68)&lt;&gt;$AN$5</formula>
    </cfRule>
  </conditionalFormatting>
  <conditionalFormatting sqref="B69:H79 B68">
    <cfRule type="expression" dxfId="66" priority="2">
      <formula>MONTH($H$68)&lt;&gt;$AN$5</formula>
    </cfRule>
  </conditionalFormatting>
  <conditionalFormatting sqref="AD57:AJ67 AD56">
    <cfRule type="expression" dxfId="65" priority="7">
      <formula>MONTH($AJ$56)&lt;&gt;$AN$5</formula>
    </cfRule>
  </conditionalFormatting>
  <conditionalFormatting sqref="W57:AC67 W56">
    <cfRule type="expression" dxfId="64" priority="8">
      <formula>MONTH($AC$56)&lt;&gt;$AN$5</formula>
    </cfRule>
  </conditionalFormatting>
  <conditionalFormatting sqref="P57:V67 P56">
    <cfRule type="expression" dxfId="63" priority="9">
      <formula>MONTH($V$56)&lt;&gt;$AN$5</formula>
    </cfRule>
  </conditionalFormatting>
  <conditionalFormatting sqref="I57:O67 I56">
    <cfRule type="expression" dxfId="62" priority="10">
      <formula>MONTH($O$56)&lt;&gt;$AN$5</formula>
    </cfRule>
  </conditionalFormatting>
  <conditionalFormatting sqref="B57:H67 B56">
    <cfRule type="expression" dxfId="61" priority="11">
      <formula>MONTH($H$56)&lt;&gt;$AN$5</formula>
    </cfRule>
  </conditionalFormatting>
  <conditionalFormatting sqref="B21:H31 B20">
    <cfRule type="expression" dxfId="60" priority="31">
      <formula>MONTH($H$20)&lt;&gt;$AN$5</formula>
    </cfRule>
  </conditionalFormatting>
  <dataValidations count="5">
    <dataValidation type="list" allowBlank="1" showInputMessage="1" showErrorMessage="1" sqref="G9:G19 N9:N19 U9:U19 AB9:AB19 AI9:AI19 G21:G31 N21:N31 U21:U31 AB21:AB31 AI21:AI31 G33:G43 N33:N43 U33:U43 AB33:AB43 AI33:AI43 G45:G55 N45:N55 U45:U55 AB45:AB55 AI45:AI55 G57:G67 N57:N67 U57:U67 AB57:AB67 AI57:AI67 G69:G79 N69:N79 U69:U79 AB69:AB79 AI69:AI79" xr:uid="{20AC2F8D-403E-4599-9908-0A686FBD27D9}">
      <formula1>"0.5,1,1.5,2,2.5,3,3.5,4,4.5,5,5.5,6,6.5,7,7.5,8"</formula1>
    </dataValidation>
    <dataValidation type="list" allowBlank="1" showInputMessage="1" showErrorMessage="1" sqref="F9:F19 M9:M19 T9:T19 AA9:AA19 AH9:AH19 F21:F31 M21:M31 T21:T31 AA21:AA31 AH21:AH31 F33:F43 M33:M43 T33:T43 AA33:AA43 AH33:AH43 F45:F55 M45:M55 T45:T55 AA45:AA55 AH45:AH55 F57:F67 M57:M67 T57:T67 AA57:AA67 AH57:AH67 F69:F79 M69:M79 T69:T79 AA69:AA79 AH69:AH79" xr:uid="{08B30D5C-5337-4C46-BABE-AE460EF6C8C2}">
      <formula1>"AM, PM"</formula1>
    </dataValidation>
    <dataValidation type="list" allowBlank="1" showInputMessage="1" showErrorMessage="1" sqref="E9:E19 L9:L19 S9:S19 Z9:Z19 AG9:AG19 E21:E31 L21:L31 S21:S31 Z21:Z31 AG21:AG31 E33:E43 L33:L43 S33:S43 Z33:Z43 AG33:AG43 E45:E55 L45:L55 S45:S55 Z45:Z55 AG45:AG55 E57:E67 L57:L67 S57:S67 Z57:Z67 AG57:AG67 E69:E79 L69:L79 S69:S79 Z69:Z79 AG69:AG79" xr:uid="{A2C4AD27-633D-4F25-938B-BEC99947E43A}">
      <formula1>"Audio,Freelance Audio,Master"</formula1>
    </dataValidation>
    <dataValidation type="list" allowBlank="1" showInputMessage="1" showErrorMessage="1" sqref="C9:C19 J9:J19 Q9:Q19 X9:X19 AE9:AE19 C21:C31 J21:J31 Q21:Q31 X21:X31 AE21:AE31 C33:C43 J33:J43 Q33:Q43 X33:X43 AE33:AE43 C45:C55 J45:J55 Q45:Q55 X45:X55 AE45:AE55 C57:C67 J57:J67 Q57:Q67 X57:X67 AE57:AE67 C69:C79 J69:J79 Q69:Q79 X69:X79 AE69:AE79" xr:uid="{F329DD8B-0B03-48BF-9F4B-A91264C5F589}">
      <formula1>"ANIMAX,AXN,AXN TW,GEM,ONE"</formula1>
    </dataValidation>
    <dataValidation type="list" allowBlank="1" showInputMessage="1" showErrorMessage="1" sqref="B9:B19 I9:I19 P9:P19 W9:W19 AD9:AD19 B21:B31 I21:I31 P21:P31 W21:W31 AD21:AD31 B33:B43 I33:I43 P33:P43 W33:W43 AD33:AD43 B45:B55 I45:I55 P45:P55 W45:W55 B57:B67 I57:I67 P57:P67 W57:W67 AD57:AD67 B69:B79 I69:I79 P69:P79 W69:W79 AD69:AD79 AD45 AD47:AD55" xr:uid="{CF238A86-1061-498E-940C-B5FF9C5FA643}">
      <formula1>"DANIEL,JESSIE,NATASHA,SUSAN,WAYNE,DOROTHY,MARIA,CATH,FREELANCER"</formula1>
    </dataValidation>
  </dataValidations>
  <pageMargins left="0.7" right="0.7" top="0.75" bottom="0.75" header="0.3" footer="0.3"/>
  <pageSetup paperSize="9" scale="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Spinner 1">
              <controlPr locked="0" defaultSize="0" autoPict="0" altText="YEAR">
                <anchor moveWithCells="1" sizeWithCells="1">
                  <from>
                    <xdr:col>40</xdr:col>
                    <xdr:colOff>0</xdr:colOff>
                    <xdr:row>1</xdr:row>
                    <xdr:rowOff>571500</xdr:rowOff>
                  </from>
                  <to>
                    <xdr:col>41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Spinner 2">
              <controlPr locked="0" defaultSize="0" autoPict="0">
                <anchor moveWithCells="1" sizeWithCells="1">
                  <from>
                    <xdr:col>39</xdr:col>
                    <xdr:colOff>904875</xdr:colOff>
                    <xdr:row>4</xdr:row>
                    <xdr:rowOff>0</xdr:rowOff>
                  </from>
                  <to>
                    <xdr:col>40</xdr:col>
                    <xdr:colOff>457200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locked="0" defaultSize="0" print="0" autoFill="0" autoPict="0" macro="[0]!GenerateBookingSheet" altText="GENERATE">
                <anchor>
                  <from>
                    <xdr:col>41</xdr:col>
                    <xdr:colOff>419100</xdr:colOff>
                    <xdr:row>1</xdr:row>
                    <xdr:rowOff>9525</xdr:rowOff>
                  </from>
                  <to>
                    <xdr:col>46</xdr:col>
                    <xdr:colOff>342900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6" id="{068DD6EF-A252-4C8C-B9E6-D45516CDF3A4}">
            <xm:f>MATCH($H$8,HOLIDAYS!$B$2:$B$22,0)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B9:H19</xm:sqref>
        </x14:conditionalFormatting>
        <x14:conditionalFormatting xmlns:xm="http://schemas.microsoft.com/office/excel/2006/main">
          <x14:cfRule type="expression" priority="75" id="{9D4CA3B5-F231-49F9-A771-6CAD68960ABD}">
            <xm:f>MATCH($O$8,HOLIDAYS!$B$2:$B$22,0)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I9:O19</xm:sqref>
        </x14:conditionalFormatting>
        <x14:conditionalFormatting xmlns:xm="http://schemas.microsoft.com/office/excel/2006/main">
          <x14:cfRule type="expression" priority="74" id="{D91B67A8-4892-4DDD-A467-45FEF201047F}">
            <xm:f>MATCH($V$8,HOLIDAYS!$B$2:$B$22,0)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P9:V19</xm:sqref>
        </x14:conditionalFormatting>
        <x14:conditionalFormatting xmlns:xm="http://schemas.microsoft.com/office/excel/2006/main">
          <x14:cfRule type="expression" priority="77" id="{522E9CBC-82F6-4AF9-896A-83F7EE9E7A81}">
            <xm:f>MATCH($AJ$8,HOLIDAYS!$B$2:$B$22,0)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AD9:AJ19</xm:sqref>
        </x14:conditionalFormatting>
        <x14:conditionalFormatting xmlns:xm="http://schemas.microsoft.com/office/excel/2006/main">
          <x14:cfRule type="expression" priority="73" id="{F5C3D5D9-35CE-42DA-A783-36B00D786624}">
            <xm:f>MATCH($AC$8,HOLIDAYS!$B$2:$B$22,0)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W9:AC19</xm:sqref>
        </x14:conditionalFormatting>
        <x14:conditionalFormatting xmlns:xm="http://schemas.microsoft.com/office/excel/2006/main">
          <x14:cfRule type="expression" priority="71" id="{CDD2A0DB-E309-4FC4-BE01-3C5F1FA3C7E5}">
            <xm:f>MATCH($AJ$68,HOLIDAYS!$B$2:$B$22,0)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AD69:AJ79</xm:sqref>
        </x14:conditionalFormatting>
        <x14:conditionalFormatting xmlns:xm="http://schemas.microsoft.com/office/excel/2006/main">
          <x14:cfRule type="expression" priority="70" id="{E392B44F-381F-4DE5-B6DA-A41B58673B79}">
            <xm:f>MATCH($AC$68,HOLIDAYS!$B$2:$B$22,0)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W69:AC79</xm:sqref>
        </x14:conditionalFormatting>
        <x14:conditionalFormatting xmlns:xm="http://schemas.microsoft.com/office/excel/2006/main">
          <x14:cfRule type="expression" priority="69" id="{E61DA2D0-40C0-4DE6-B3CA-DD7EE3BA7E55}">
            <xm:f>MATCH($V$68,HOLIDAYS!$B$2:$B$22,0)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P69:V79</xm:sqref>
        </x14:conditionalFormatting>
        <x14:conditionalFormatting xmlns:xm="http://schemas.microsoft.com/office/excel/2006/main">
          <x14:cfRule type="expression" priority="68" id="{D13FB04B-8F96-4390-8FD2-987888839F2C}">
            <xm:f>MATCH($O$68,HOLIDAYS!$B$2:$B$22,0)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I69:O79</xm:sqref>
        </x14:conditionalFormatting>
        <x14:conditionalFormatting xmlns:xm="http://schemas.microsoft.com/office/excel/2006/main">
          <x14:cfRule type="expression" priority="67" id="{2C3237DC-E132-4828-8C0A-E466E00FAF42}">
            <xm:f>MATCH($H$68,HOLIDAYS!$B$2:$B$22,0)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B69:H79</xm:sqref>
        </x14:conditionalFormatting>
        <x14:conditionalFormatting xmlns:xm="http://schemas.microsoft.com/office/excel/2006/main">
          <x14:cfRule type="expression" priority="66" id="{5DABDA22-9EF2-4D39-8587-A4C4D44C9C16}">
            <xm:f>MATCH($AJ$56,HOLIDAYS!$B$2:$B$22,0)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AD57:AJ67</xm:sqref>
        </x14:conditionalFormatting>
        <x14:conditionalFormatting xmlns:xm="http://schemas.microsoft.com/office/excel/2006/main">
          <x14:cfRule type="expression" priority="65" id="{AD8E6682-85D6-4C17-9E44-CD29AABCA598}">
            <xm:f>MATCH($AC$56,HOLIDAYS!$B$2:$B$22,0)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W57:AC67</xm:sqref>
        </x14:conditionalFormatting>
        <x14:conditionalFormatting xmlns:xm="http://schemas.microsoft.com/office/excel/2006/main">
          <x14:cfRule type="expression" priority="64" id="{008EE4AE-7DFE-456E-BB79-89DF86F4E772}">
            <xm:f>MATCH($V$56,HOLIDAYS!$B$2:$B$22,0)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P57:V67</xm:sqref>
        </x14:conditionalFormatting>
        <x14:conditionalFormatting xmlns:xm="http://schemas.microsoft.com/office/excel/2006/main">
          <x14:cfRule type="expression" priority="63" id="{D359FC2C-8716-46A7-A8C8-0B072CD1C586}">
            <xm:f>MATCH($O$56,HOLIDAYS!$B$2:$B$22,0)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I57:O67</xm:sqref>
        </x14:conditionalFormatting>
        <x14:conditionalFormatting xmlns:xm="http://schemas.microsoft.com/office/excel/2006/main">
          <x14:cfRule type="expression" priority="62" id="{3BA38470-DABB-4BB1-8573-E058BDC92FE6}">
            <xm:f>MATCH($H$56,HOLIDAYS!$B$2:$B$22,0)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B57:H67</xm:sqref>
        </x14:conditionalFormatting>
        <x14:conditionalFormatting xmlns:xm="http://schemas.microsoft.com/office/excel/2006/main">
          <x14:cfRule type="expression" priority="61" id="{EB9E7B50-7A67-481D-AB46-9B070F72EA8A}">
            <xm:f>MATCH($H$20,HOLIDAYS!$B$2:$B$22,0)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B21:H31</xm:sqref>
        </x14:conditionalFormatting>
        <x14:conditionalFormatting xmlns:xm="http://schemas.microsoft.com/office/excel/2006/main">
          <x14:cfRule type="expression" priority="54" id="{219AC5A4-C0BF-4345-93B9-1D2F64E6A463}">
            <xm:f>MATCH($O$20,HOLIDAYS!$B$2:$B$22,0)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I21:O31</xm:sqref>
        </x14:conditionalFormatting>
        <x14:conditionalFormatting xmlns:xm="http://schemas.microsoft.com/office/excel/2006/main">
          <x14:cfRule type="expression" priority="53" id="{984C925B-0E37-4B9E-925E-A996C071DCC3}">
            <xm:f>MATCH($V$20,HOLIDAYS!$B$2:$B$22,0)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P21:V31</xm:sqref>
        </x14:conditionalFormatting>
        <x14:conditionalFormatting xmlns:xm="http://schemas.microsoft.com/office/excel/2006/main">
          <x14:cfRule type="expression" priority="52" id="{C1E9806D-82FC-4F17-B0B3-4238D10CF9C6}">
            <xm:f>MATCH($AC$20,HOLIDAYS!$B$2:$B$22,0)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W21:AC31</xm:sqref>
        </x14:conditionalFormatting>
        <x14:conditionalFormatting xmlns:xm="http://schemas.microsoft.com/office/excel/2006/main">
          <x14:cfRule type="expression" priority="51" id="{5EE30028-B1A5-459B-BE8B-5B5A68CEFB7F}">
            <xm:f>MATCH($AJ$20,HOLIDAYS!$B$2:$B$22,0)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AD21:AJ31</xm:sqref>
        </x14:conditionalFormatting>
        <x14:conditionalFormatting xmlns:xm="http://schemas.microsoft.com/office/excel/2006/main">
          <x14:cfRule type="expression" priority="50" id="{CB202A34-C872-4FDA-94C9-8449B64417D6}">
            <xm:f>MATCH($H$32,HOLIDAYS!$B$2:$B$22,0)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B33:H43</xm:sqref>
        </x14:conditionalFormatting>
        <x14:conditionalFormatting xmlns:xm="http://schemas.microsoft.com/office/excel/2006/main">
          <x14:cfRule type="expression" priority="49" id="{2B37C156-7367-45A8-ADC2-6E73D196ABEC}">
            <xm:f>MATCH($O$32,HOLIDAYS!$B$2:$B$22,0)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I33:O43</xm:sqref>
        </x14:conditionalFormatting>
        <x14:conditionalFormatting xmlns:xm="http://schemas.microsoft.com/office/excel/2006/main">
          <x14:cfRule type="expression" priority="48" id="{D3AE2BE8-4293-47EA-B5C3-9D50C4BC98BC}">
            <xm:f>MATCH($V$32,HOLIDAYS!$B$2:$B$22,0)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P33:V43</xm:sqref>
        </x14:conditionalFormatting>
        <x14:conditionalFormatting xmlns:xm="http://schemas.microsoft.com/office/excel/2006/main">
          <x14:cfRule type="expression" priority="47" id="{A76EBDDD-9E64-482B-BA72-30A91F918A86}">
            <xm:f>MATCH($AC$32,HOLIDAYS!$B$2:$B$22,0)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W33:AC43</xm:sqref>
        </x14:conditionalFormatting>
        <x14:conditionalFormatting xmlns:xm="http://schemas.microsoft.com/office/excel/2006/main">
          <x14:cfRule type="expression" priority="46" id="{AB7F5820-5192-4189-8A54-AF897A97D491}">
            <xm:f>MATCH($AJ$32,HOLIDAYS!$B$2:$B$22,0)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AD33:AJ43</xm:sqref>
        </x14:conditionalFormatting>
        <x14:conditionalFormatting xmlns:xm="http://schemas.microsoft.com/office/excel/2006/main">
          <x14:cfRule type="expression" priority="45" id="{84CB3580-426F-46A0-A0CE-00BA470246BC}">
            <xm:f>MATCH($H$44,HOLIDAYS!$B$2:$B$22,0)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B45:H55</xm:sqref>
        </x14:conditionalFormatting>
        <x14:conditionalFormatting xmlns:xm="http://schemas.microsoft.com/office/excel/2006/main">
          <x14:cfRule type="expression" priority="44" id="{46B5F31B-0FF1-439F-8F77-3EF697E96D1D}">
            <xm:f>MATCH($O$44,HOLIDAYS!$B$2:$B$22,0)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I45:O55</xm:sqref>
        </x14:conditionalFormatting>
        <x14:conditionalFormatting xmlns:xm="http://schemas.microsoft.com/office/excel/2006/main">
          <x14:cfRule type="expression" priority="43" id="{4E381418-2814-4B40-A887-BDDE0D260467}">
            <xm:f>MATCH($V$44,HOLIDAYS!$B$2:$B$22,0)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P45:V55</xm:sqref>
        </x14:conditionalFormatting>
        <x14:conditionalFormatting xmlns:xm="http://schemas.microsoft.com/office/excel/2006/main">
          <x14:cfRule type="expression" priority="42" id="{A7AE9E96-09FC-40DE-8E2F-2B447CB1414F}">
            <xm:f>MATCH($AC$44,HOLIDAYS!$B$2:$B$22,0)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W45:AC55</xm:sqref>
        </x14:conditionalFormatting>
        <x14:conditionalFormatting xmlns:xm="http://schemas.microsoft.com/office/excel/2006/main">
          <x14:cfRule type="expression" priority="41" id="{78E438AC-68A1-476E-A33E-C82453ED30A6}">
            <xm:f>MATCH($AJ$44,HOLIDAYS!$B$2:$B$22,0)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AD45:AJ55</xm:sqref>
        </x14:conditionalFormatting>
        <x14:conditionalFormatting xmlns:xm="http://schemas.microsoft.com/office/excel/2006/main">
          <x14:cfRule type="expression" priority="55" id="{BB082588-3168-4028-AFDD-58D7C53D8EF5}">
            <xm:f>MATCH($B$20,HOLIDAYS!$D$2:$D$22,0)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B20:H20</xm:sqref>
        </x14:conditionalFormatting>
        <x14:conditionalFormatting xmlns:xm="http://schemas.microsoft.com/office/excel/2006/main">
          <x14:cfRule type="expression" priority="78" id="{DD5CC5C1-AC11-430C-82FA-CA9937836B29}">
            <xm:f>MATCH($B$8,HOLIDAYS!$D$2:$D$22,0)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B8:H8</xm:sqref>
        </x14:conditionalFormatting>
        <x14:conditionalFormatting xmlns:xm="http://schemas.microsoft.com/office/excel/2006/main">
          <x14:cfRule type="expression" priority="58" id="{D8E470B5-3D9A-4431-9DB6-4A3E6D1D4421}">
            <xm:f>MATCH($I$8,HOLIDAYS!$D$2:$D$22,0)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I8:O8</xm:sqref>
        </x14:conditionalFormatting>
        <x14:conditionalFormatting xmlns:xm="http://schemas.microsoft.com/office/excel/2006/main">
          <x14:cfRule type="expression" priority="57" id="{3B7905BF-BC3D-425D-9228-72E9A097C837}">
            <xm:f>MATCH($P$8,HOLIDAYS!$D$2:$D$22,0)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P8:V8</xm:sqref>
        </x14:conditionalFormatting>
        <x14:conditionalFormatting xmlns:xm="http://schemas.microsoft.com/office/excel/2006/main">
          <x14:cfRule type="expression" priority="56" id="{7C0F4A27-1C40-43F1-A25E-68CBE134AE12}">
            <xm:f>MATCH($W$8,HOLIDAYS!$D$2:$D$22,0)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W8:AC8</xm:sqref>
        </x14:conditionalFormatting>
        <x14:conditionalFormatting xmlns:xm="http://schemas.microsoft.com/office/excel/2006/main">
          <x14:cfRule type="expression" priority="72" id="{31567D71-B69F-4E2C-8F06-26B55643EF51}">
            <xm:f>MATCH($AD$8,HOLIDAYS!$D$2:$D$22,0)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AD8:AJ8</xm:sqref>
        </x14:conditionalFormatting>
        <x14:conditionalFormatting xmlns:xm="http://schemas.microsoft.com/office/excel/2006/main">
          <x14:cfRule type="expression" priority="25" id="{3A3A4A8C-A13E-4B9A-915D-AFC80FF533C3}">
            <xm:f>MATCH($I$20,HOLIDAYS!$D$2:$D$22,0)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I20:O20</xm:sqref>
        </x14:conditionalFormatting>
        <x14:conditionalFormatting xmlns:xm="http://schemas.microsoft.com/office/excel/2006/main">
          <x14:cfRule type="expression" priority="24" id="{382E02E9-DF54-4024-B1F6-E2D9F95FFFB0}">
            <xm:f>MATCH($P$20,HOLIDAYS!$D$2:$D$22,0)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P20:V20</xm:sqref>
        </x14:conditionalFormatting>
        <x14:conditionalFormatting xmlns:xm="http://schemas.microsoft.com/office/excel/2006/main">
          <x14:cfRule type="expression" priority="23" id="{988E58B7-171E-4582-9413-2E8DD5D92336}">
            <xm:f>MATCH($W$20,HOLIDAYS!$D$2:$D$22,0)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W20:AC20</xm:sqref>
        </x14:conditionalFormatting>
        <x14:conditionalFormatting xmlns:xm="http://schemas.microsoft.com/office/excel/2006/main">
          <x14:cfRule type="expression" priority="22" id="{8C70CEC1-0291-45B4-B2BF-4744B407EE02}">
            <xm:f>MATCH($AD$20,HOLIDAYS!$D$2:$D$22,0)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AD20:AJ20</xm:sqref>
        </x14:conditionalFormatting>
        <x14:conditionalFormatting xmlns:xm="http://schemas.microsoft.com/office/excel/2006/main">
          <x14:cfRule type="expression" priority="21" id="{466BC1E5-CFF1-4ED9-BDE1-812AEF3320CA}">
            <xm:f>MATCH($B$32,HOLIDAYS!$D$2:$D$22,0)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B32:H32</xm:sqref>
        </x14:conditionalFormatting>
        <x14:conditionalFormatting xmlns:xm="http://schemas.microsoft.com/office/excel/2006/main">
          <x14:cfRule type="expression" priority="20" id="{0AE5C881-E4C9-4E2E-8869-AC3AC61F3E9A}">
            <xm:f>MATCH($I$32,HOLIDAYS!$D$2:$D$22,0)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I32:O32</xm:sqref>
        </x14:conditionalFormatting>
        <x14:conditionalFormatting xmlns:xm="http://schemas.microsoft.com/office/excel/2006/main">
          <x14:cfRule type="expression" priority="19" id="{CB46B87F-3ECA-4AD2-B06F-8BDE21ACE4E9}">
            <xm:f>MATCH($P$32,HOLIDAYS!$D$2:$D$22,0)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P32:V32</xm:sqref>
        </x14:conditionalFormatting>
        <x14:conditionalFormatting xmlns:xm="http://schemas.microsoft.com/office/excel/2006/main">
          <x14:cfRule type="expression" priority="18" id="{7B191FD0-70B5-43B3-AF25-24779C530000}">
            <xm:f>MATCH($W$32,HOLIDAYS!$D$2:$D$22,0)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W32:AC32</xm:sqref>
        </x14:conditionalFormatting>
        <x14:conditionalFormatting xmlns:xm="http://schemas.microsoft.com/office/excel/2006/main">
          <x14:cfRule type="expression" priority="17" id="{4C62CA95-2DFA-4CAC-9EC8-9AD2703D8812}">
            <xm:f>MATCH($AD$32,HOLIDAYS!$D$2:$D$22,0)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AD32:AJ32</xm:sqref>
        </x14:conditionalFormatting>
        <x14:conditionalFormatting xmlns:xm="http://schemas.microsoft.com/office/excel/2006/main">
          <x14:cfRule type="expression" priority="15" id="{74E23197-1AD6-49BB-A16F-CBF70A6FBB83}">
            <xm:f>MATCH($AD$44,HOLIDAYS!$D$2:$D$22,0)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AD44:AJ44</xm:sqref>
        </x14:conditionalFormatting>
        <x14:conditionalFormatting xmlns:xm="http://schemas.microsoft.com/office/excel/2006/main">
          <x14:cfRule type="expression" priority="16" id="{646BAF74-5F60-42D8-9920-FE51B73D3F1B}">
            <xm:f>MATCH($W$44,HOLIDAYS!$D$2:$D$22,0)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W44:AC44</xm:sqref>
        </x14:conditionalFormatting>
        <x14:conditionalFormatting xmlns:xm="http://schemas.microsoft.com/office/excel/2006/main">
          <x14:cfRule type="expression" priority="14" id="{B933A7DE-818E-4A33-87A6-27ACDE2A880C}">
            <xm:f>MATCH($P$44,HOLIDAYS!$D$2:$D$22,0)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P44:V44</xm:sqref>
        </x14:conditionalFormatting>
        <x14:conditionalFormatting xmlns:xm="http://schemas.microsoft.com/office/excel/2006/main">
          <x14:cfRule type="expression" priority="13" id="{081F18F5-BB24-4145-9248-B252DA3D2C41}">
            <xm:f>MATCH($I$44,HOLIDAYS!$D$2:$D$22,0)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I44:O44</xm:sqref>
        </x14:conditionalFormatting>
        <x14:conditionalFormatting xmlns:xm="http://schemas.microsoft.com/office/excel/2006/main">
          <x14:cfRule type="expression" priority="12" id="{433086E7-020F-4E6B-9190-B4F49D3CF161}">
            <xm:f>MATCH($B$44,HOLIDAYS!$D$2:$D$22,0)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B44:H44</xm:sqref>
        </x14:conditionalFormatting>
        <x14:conditionalFormatting xmlns:xm="http://schemas.microsoft.com/office/excel/2006/main">
          <x14:cfRule type="expression" priority="40" id="{E28658D3-80DC-4B4F-B279-5538877104B8}">
            <xm:f>MATCH($B$56,HOLIDAYS!$D$2:$D$22,0)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B56:H56</xm:sqref>
        </x14:conditionalFormatting>
        <x14:conditionalFormatting xmlns:xm="http://schemas.microsoft.com/office/excel/2006/main">
          <x14:cfRule type="expression" priority="39" id="{EC32AD9C-67EE-4583-8B61-2CCC8B499760}">
            <xm:f>MATCH($I$56,HOLIDAYS!$D$2:$D$22,0)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I56:O56</xm:sqref>
        </x14:conditionalFormatting>
        <x14:conditionalFormatting xmlns:xm="http://schemas.microsoft.com/office/excel/2006/main">
          <x14:cfRule type="expression" priority="38" id="{DCBA449B-F875-49F7-9892-9888978C9655}">
            <xm:f>MATCH($P$56,HOLIDAYS!$D$2:$D$22,0)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P56:V56</xm:sqref>
        </x14:conditionalFormatting>
        <x14:conditionalFormatting xmlns:xm="http://schemas.microsoft.com/office/excel/2006/main">
          <x14:cfRule type="expression" priority="37" id="{EB58706A-0BB0-46E0-8C4C-9B1D16DBD32D}">
            <xm:f>MATCH($W$56,HOLIDAYS!$D$2:$D$22,0)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W56:AC56</xm:sqref>
        </x14:conditionalFormatting>
        <x14:conditionalFormatting xmlns:xm="http://schemas.microsoft.com/office/excel/2006/main">
          <x14:cfRule type="expression" priority="60" id="{F5289D92-425F-4A4F-9B4B-E867626A66EB}">
            <xm:f>MATCH($AD$56,HOLIDAYS!$D$2:$D$22,0)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AD56:AJ56</xm:sqref>
        </x14:conditionalFormatting>
        <x14:conditionalFormatting xmlns:xm="http://schemas.microsoft.com/office/excel/2006/main">
          <x14:cfRule type="expression" priority="32" id="{6A803D0E-E0BB-4021-8EA1-FEF343873368}">
            <xm:f>MATCH($AD$68,HOLIDAYS!$D$2:$D$22,0)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AD68:AJ68</xm:sqref>
        </x14:conditionalFormatting>
        <x14:conditionalFormatting xmlns:xm="http://schemas.microsoft.com/office/excel/2006/main">
          <x14:cfRule type="expression" priority="33" id="{E4164E25-8C86-4A7C-AB40-30C94FA27C99}">
            <xm:f>MATCH($W$68,HOLIDAYS!$D$2:$D$22,0)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W68:AC68</xm:sqref>
        </x14:conditionalFormatting>
        <x14:conditionalFormatting xmlns:xm="http://schemas.microsoft.com/office/excel/2006/main">
          <x14:cfRule type="expression" priority="34" id="{FABFCB60-5819-47DA-969F-925D4B651AAB}">
            <xm:f>MATCH($P$68,HOLIDAYS!$D$2:$D$22,0)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P68:V68</xm:sqref>
        </x14:conditionalFormatting>
        <x14:conditionalFormatting xmlns:xm="http://schemas.microsoft.com/office/excel/2006/main">
          <x14:cfRule type="expression" priority="35" id="{B76ACE5E-AC67-4A6E-8BE5-37B8CF4D499F}">
            <xm:f>MATCH($I$68,HOLIDAYS!$D$2:$D$22,0)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I68:O68</xm:sqref>
        </x14:conditionalFormatting>
        <x14:conditionalFormatting xmlns:xm="http://schemas.microsoft.com/office/excel/2006/main">
          <x14:cfRule type="expression" priority="36" id="{761C847B-C0EB-497C-B674-53C5CC278C01}">
            <xm:f>MATCH($B$68,HOLIDAYS!$D$2:$D$22,0)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B68:H68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Wang</dc:creator>
  <cp:keywords/>
  <dc:description/>
  <cp:lastModifiedBy>Dorothy Clement</cp:lastModifiedBy>
  <cp:revision/>
  <dcterms:created xsi:type="dcterms:W3CDTF">2023-05-09T13:44:58Z</dcterms:created>
  <dcterms:modified xsi:type="dcterms:W3CDTF">2023-07-25T08:17:22Z</dcterms:modified>
  <cp:category/>
  <cp:contentStatus/>
</cp:coreProperties>
</file>