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nielwang/Downloads/Booking/"/>
    </mc:Choice>
  </mc:AlternateContent>
  <xr:revisionPtr revIDLastSave="0" documentId="13_ncr:1_{A71E69C0-FC1C-4149-A258-B6C8611EA2F3}" xr6:coauthVersionLast="47" xr6:coauthVersionMax="47" xr10:uidLastSave="{00000000-0000-0000-0000-000000000000}"/>
  <bookViews>
    <workbookView xWindow="0" yWindow="1000" windowWidth="25840" windowHeight="15320" activeTab="1" xr2:uid="{7BC3BBE0-6923-B84E-85D0-2554743ACC41}"/>
  </bookViews>
  <sheets>
    <sheet name="2023 GFX" sheetId="6" r:id="rId1"/>
    <sheet name="TEMPLATE_ALL" sheetId="1" r:id="rId2"/>
    <sheet name="Audio Out-House" sheetId="5" r:id="rId3"/>
    <sheet name="Summary" sheetId="9" r:id="rId4"/>
    <sheet name="HOLIDAYS" sheetId="2" r:id="rId5"/>
    <sheet name="Backup" sheetId="10" state="hidden" r:id="rId6"/>
  </sheets>
  <functionGroups builtInGroupCount="19"/>
  <calcPr calcId="191029"/>
  <customWorkbookViews>
    <customWorkbookView name="Month" guid="{37A1A5CD-453E-7045-9B11-D167516DD85F}" includePrintSettings="0" yWindow="152" windowWidth="1710" windowHeight="84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A250" i="6"/>
  <c r="A213" i="6"/>
  <c r="A139" i="6"/>
  <c r="A102" i="6"/>
  <c r="A38" i="6"/>
  <c r="E273" i="6"/>
  <c r="E280" i="6" s="1"/>
  <c r="E266" i="6"/>
  <c r="D266" i="6"/>
  <c r="D273" i="6" s="1"/>
  <c r="D280" i="6" s="1"/>
  <c r="C266" i="6"/>
  <c r="C273" i="6" s="1"/>
  <c r="C280" i="6" s="1"/>
  <c r="B266" i="6"/>
  <c r="B273" i="6" s="1"/>
  <c r="B280" i="6" s="1"/>
  <c r="F259" i="6"/>
  <c r="F266" i="6" s="1"/>
  <c r="F273" i="6" s="1"/>
  <c r="F280" i="6" s="1"/>
  <c r="E236" i="6"/>
  <c r="E243" i="6" s="1"/>
  <c r="E229" i="6"/>
  <c r="D229" i="6"/>
  <c r="D236" i="6" s="1"/>
  <c r="D243" i="6" s="1"/>
  <c r="C229" i="6"/>
  <c r="C236" i="6" s="1"/>
  <c r="C243" i="6" s="1"/>
  <c r="B229" i="6"/>
  <c r="B236" i="6" s="1"/>
  <c r="B243" i="6" s="1"/>
  <c r="F222" i="6"/>
  <c r="F229" i="6" s="1"/>
  <c r="F236" i="6" s="1"/>
  <c r="E222" i="6"/>
  <c r="D222" i="6"/>
  <c r="E199" i="6"/>
  <c r="E192" i="6"/>
  <c r="D192" i="6"/>
  <c r="D199" i="6" s="1"/>
  <c r="C192" i="6"/>
  <c r="C199" i="6" s="1"/>
  <c r="C206" i="6" s="1"/>
  <c r="B192" i="6"/>
  <c r="B199" i="6" s="1"/>
  <c r="B206" i="6" s="1"/>
  <c r="F185" i="6"/>
  <c r="F192" i="6" s="1"/>
  <c r="F199" i="6" s="1"/>
  <c r="E185" i="6"/>
  <c r="D185" i="6"/>
  <c r="C185" i="6"/>
  <c r="B185" i="6"/>
  <c r="E169" i="6"/>
  <c r="E162" i="6"/>
  <c r="D162" i="6"/>
  <c r="D169" i="6" s="1"/>
  <c r="C162" i="6"/>
  <c r="C169" i="6" s="1"/>
  <c r="B162" i="6"/>
  <c r="B169" i="6" s="1"/>
  <c r="E155" i="6"/>
  <c r="D155" i="6"/>
  <c r="C155" i="6"/>
  <c r="B155" i="6"/>
  <c r="F148" i="6"/>
  <c r="F155" i="6" s="1"/>
  <c r="F162" i="6" s="1"/>
  <c r="F169" i="6" s="1"/>
  <c r="B125" i="6"/>
  <c r="B132" i="6" s="1"/>
  <c r="B118" i="6"/>
  <c r="F111" i="6"/>
  <c r="F118" i="6" s="1"/>
  <c r="F125" i="6" s="1"/>
  <c r="E111" i="6"/>
  <c r="E118" i="6" s="1"/>
  <c r="E125" i="6" s="1"/>
  <c r="E132" i="6" s="1"/>
  <c r="D111" i="6"/>
  <c r="D118" i="6" s="1"/>
  <c r="D125" i="6" s="1"/>
  <c r="D132" i="6" s="1"/>
  <c r="C111" i="6"/>
  <c r="C118" i="6" s="1"/>
  <c r="C125" i="6" s="1"/>
  <c r="C132" i="6" s="1"/>
  <c r="B88" i="6"/>
  <c r="B95" i="6" s="1"/>
  <c r="B81" i="6"/>
  <c r="F74" i="6"/>
  <c r="F81" i="6" s="1"/>
  <c r="F88" i="6" s="1"/>
  <c r="E74" i="6"/>
  <c r="E81" i="6" s="1"/>
  <c r="E88" i="6" s="1"/>
  <c r="D74" i="6"/>
  <c r="D81" i="6" s="1"/>
  <c r="D88" i="6" s="1"/>
  <c r="C74" i="6"/>
  <c r="C81" i="6" s="1"/>
  <c r="C88" i="6" s="1"/>
  <c r="B74" i="6"/>
  <c r="B60" i="6"/>
  <c r="B55" i="6"/>
  <c r="F50" i="6"/>
  <c r="F55" i="6" s="1"/>
  <c r="F60" i="6" s="1"/>
  <c r="E50" i="6"/>
  <c r="E55" i="6" s="1"/>
  <c r="E60" i="6" s="1"/>
  <c r="D50" i="6"/>
  <c r="D55" i="6" s="1"/>
  <c r="D60" i="6" s="1"/>
  <c r="C50" i="6"/>
  <c r="C55" i="6" s="1"/>
  <c r="C60" i="6" s="1"/>
  <c r="B50" i="6"/>
  <c r="A65" i="6"/>
  <c r="A176" i="6" s="1"/>
  <c r="AJ68" i="10" l="1"/>
  <c r="AD68" i="10" s="1"/>
  <c r="AC68" i="10"/>
  <c r="W68" i="10"/>
  <c r="V68" i="10"/>
  <c r="P68" i="10"/>
  <c r="O68" i="10"/>
  <c r="I68" i="10"/>
  <c r="H68" i="10"/>
  <c r="B68" i="10"/>
  <c r="AJ56" i="10"/>
  <c r="AD56" i="10"/>
  <c r="AC56" i="10"/>
  <c r="W56" i="10"/>
  <c r="V56" i="10"/>
  <c r="P56" i="10"/>
  <c r="O56" i="10"/>
  <c r="I56" i="10" s="1"/>
  <c r="H56" i="10"/>
  <c r="B56" i="10"/>
  <c r="AJ44" i="10"/>
  <c r="AD44" i="10" s="1"/>
  <c r="AC44" i="10"/>
  <c r="W44" i="10"/>
  <c r="V44" i="10"/>
  <c r="P44" i="10" s="1"/>
  <c r="O44" i="10"/>
  <c r="I44" i="10"/>
  <c r="H44" i="10"/>
  <c r="B44" i="10" s="1"/>
  <c r="AJ32" i="10"/>
  <c r="AD32" i="10"/>
  <c r="AC32" i="10"/>
  <c r="W32" i="10" s="1"/>
  <c r="V32" i="10"/>
  <c r="P32" i="10"/>
  <c r="O32" i="10"/>
  <c r="I32" i="10" s="1"/>
  <c r="H32" i="10"/>
  <c r="B32" i="10"/>
  <c r="AJ20" i="10"/>
  <c r="AD20" i="10" s="1"/>
  <c r="AC20" i="10"/>
  <c r="W20" i="10"/>
  <c r="V20" i="10"/>
  <c r="P20" i="10" s="1"/>
  <c r="O20" i="10"/>
  <c r="I20" i="10"/>
  <c r="H20" i="10"/>
  <c r="B20" i="10" s="1"/>
  <c r="AJ8" i="10"/>
  <c r="AD8" i="10"/>
  <c r="AC8" i="10"/>
  <c r="W8" i="10" s="1"/>
  <c r="V8" i="10"/>
  <c r="P8" i="10"/>
  <c r="O8" i="10"/>
  <c r="I8" i="10" s="1"/>
  <c r="H8" i="10"/>
  <c r="B8" i="10"/>
  <c r="B1" i="10"/>
  <c r="W5" i="9"/>
  <c r="X5" i="9" s="1"/>
  <c r="W3" i="9"/>
  <c r="X3" i="9" s="1"/>
  <c r="J25" i="9"/>
  <c r="J26" i="9"/>
  <c r="J27" i="9"/>
  <c r="J28" i="9"/>
  <c r="J29" i="9"/>
  <c r="J30" i="9"/>
  <c r="J15" i="9"/>
  <c r="R4" i="9" s="1"/>
  <c r="S4" i="9" s="1"/>
  <c r="J16" i="9"/>
  <c r="J17" i="9"/>
  <c r="J18" i="9"/>
  <c r="J19" i="9"/>
  <c r="J20" i="9"/>
  <c r="J21" i="9"/>
  <c r="J22" i="9"/>
  <c r="J23" i="9"/>
  <c r="J24" i="9"/>
  <c r="J5" i="9"/>
  <c r="J7" i="9"/>
  <c r="J4" i="9"/>
  <c r="J3" i="9"/>
  <c r="M3" i="9" s="1"/>
  <c r="N3" i="9" s="1"/>
  <c r="J8" i="9"/>
  <c r="M4" i="9" s="1"/>
  <c r="N4" i="9" s="1"/>
  <c r="J9" i="9"/>
  <c r="J10" i="9"/>
  <c r="R5" i="9" s="1"/>
  <c r="S5" i="9" s="1"/>
  <c r="J11" i="9"/>
  <c r="J12" i="9"/>
  <c r="J13" i="9"/>
  <c r="M6" i="9" s="1"/>
  <c r="N6" i="9" s="1"/>
  <c r="J14" i="9"/>
  <c r="J6" i="9"/>
  <c r="O28" i="5"/>
  <c r="O29" i="5"/>
  <c r="O30" i="5"/>
  <c r="O31" i="5"/>
  <c r="O32" i="5"/>
  <c r="O33" i="5"/>
  <c r="O34" i="5"/>
  <c r="O35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4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12" i="5"/>
  <c r="M13" i="5"/>
  <c r="M14" i="5"/>
  <c r="M15" i="5"/>
  <c r="M16" i="5"/>
  <c r="M17" i="5"/>
  <c r="M18" i="5"/>
  <c r="M19" i="5"/>
  <c r="M20" i="5"/>
  <c r="M21" i="5"/>
  <c r="M22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L11" i="5"/>
  <c r="M11" i="5" s="1"/>
  <c r="L12" i="5"/>
  <c r="L13" i="5"/>
  <c r="L14" i="5"/>
  <c r="L15" i="5"/>
  <c r="L16" i="5"/>
  <c r="L17" i="5"/>
  <c r="L18" i="5"/>
  <c r="L19" i="5"/>
  <c r="L4" i="5"/>
  <c r="M4" i="5" s="1"/>
  <c r="K27" i="5"/>
  <c r="K28" i="5"/>
  <c r="K29" i="5"/>
  <c r="K30" i="5"/>
  <c r="K31" i="5"/>
  <c r="K32" i="5"/>
  <c r="K33" i="5"/>
  <c r="K34" i="5"/>
  <c r="K35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4" i="5"/>
  <c r="F10" i="6"/>
  <c r="F17" i="6" s="1"/>
  <c r="F24" i="6" s="1"/>
  <c r="E10" i="6"/>
  <c r="E17" i="6" s="1"/>
  <c r="E24" i="6" s="1"/>
  <c r="D10" i="6"/>
  <c r="D17" i="6" s="1"/>
  <c r="D24" i="6" s="1"/>
  <c r="D31" i="6" s="1"/>
  <c r="C10" i="6"/>
  <c r="C17" i="6" s="1"/>
  <c r="C24" i="6" s="1"/>
  <c r="C31" i="6" s="1"/>
  <c r="B10" i="6"/>
  <c r="B17" i="6" s="1"/>
  <c r="B24" i="6" s="1"/>
  <c r="B31" i="6" s="1"/>
  <c r="C3" i="2"/>
  <c r="C4" i="2"/>
  <c r="C5" i="2"/>
  <c r="C6" i="2"/>
  <c r="C7" i="2"/>
  <c r="C2" i="2"/>
  <c r="B1" i="1"/>
  <c r="AJ68" i="1"/>
  <c r="AD68" i="1" s="1"/>
  <c r="AC68" i="1"/>
  <c r="W68" i="1" s="1"/>
  <c r="V68" i="1"/>
  <c r="P68" i="1" s="1"/>
  <c r="O68" i="1"/>
  <c r="I68" i="1" s="1"/>
  <c r="H68" i="1"/>
  <c r="B68" i="1" s="1"/>
  <c r="AJ56" i="1"/>
  <c r="AD56" i="1" s="1"/>
  <c r="AC56" i="1"/>
  <c r="W56" i="1" s="1"/>
  <c r="V56" i="1"/>
  <c r="P56" i="1" s="1"/>
  <c r="O56" i="1"/>
  <c r="I56" i="1" s="1"/>
  <c r="H56" i="1"/>
  <c r="B56" i="1" s="1"/>
  <c r="AJ44" i="1"/>
  <c r="AD44" i="1" s="1"/>
  <c r="AC44" i="1"/>
  <c r="W44" i="1" s="1"/>
  <c r="V44" i="1"/>
  <c r="P44" i="1" s="1"/>
  <c r="O44" i="1"/>
  <c r="I44" i="1" s="1"/>
  <c r="H44" i="1"/>
  <c r="B44" i="1" s="1"/>
  <c r="AJ32" i="1"/>
  <c r="AD32" i="1" s="1"/>
  <c r="AC32" i="1"/>
  <c r="W32" i="1" s="1"/>
  <c r="V32" i="1"/>
  <c r="P32" i="1" s="1"/>
  <c r="O32" i="1"/>
  <c r="I32" i="1" s="1"/>
  <c r="H32" i="1"/>
  <c r="B32" i="1" s="1"/>
  <c r="AJ20" i="1"/>
  <c r="AD20" i="1" s="1"/>
  <c r="AC20" i="1"/>
  <c r="W20" i="1" s="1"/>
  <c r="V20" i="1"/>
  <c r="P20" i="1" s="1"/>
  <c r="O20" i="1"/>
  <c r="I20" i="1" s="1"/>
  <c r="H20" i="1"/>
  <c r="B20" i="1" s="1"/>
  <c r="AJ8" i="1"/>
  <c r="AD8" i="1" s="1"/>
  <c r="AC8" i="1"/>
  <c r="W8" i="1" s="1"/>
  <c r="V8" i="1"/>
  <c r="P8" i="1" s="1"/>
  <c r="O8" i="1"/>
  <c r="I8" i="1" s="1"/>
  <c r="H8" i="1"/>
  <c r="B8" i="1" s="1"/>
  <c r="M5" i="9" l="1"/>
  <c r="N5" i="9" s="1"/>
  <c r="W4" i="9"/>
  <c r="X4" i="9" s="1"/>
  <c r="W6" i="9"/>
  <c r="X6" i="9" s="1"/>
  <c r="R6" i="9"/>
  <c r="S6" i="9" s="1"/>
  <c r="R3" i="9"/>
  <c r="S3" i="9" s="1"/>
  <c r="L9" i="9"/>
  <c r="L10" i="9" l="1" a="1"/>
  <c r="L10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<sst xmlns="http://schemas.openxmlformats.org/spreadsheetml/2006/main" count="560" uniqueCount="101">
  <si>
    <t>PRODUCER</t>
  </si>
  <si>
    <t>CHANNEL</t>
  </si>
  <si>
    <t>PROJECT</t>
  </si>
  <si>
    <t>FACILITY</t>
  </si>
  <si>
    <t>TIME</t>
  </si>
  <si>
    <t>DUR</t>
  </si>
  <si>
    <t>DUE DATE</t>
  </si>
  <si>
    <t>MON</t>
  </si>
  <si>
    <t>Audio</t>
  </si>
  <si>
    <t>Master</t>
  </si>
  <si>
    <t>TUE</t>
  </si>
  <si>
    <t>WED</t>
  </si>
  <si>
    <t>THU</t>
  </si>
  <si>
    <t>FRI</t>
  </si>
  <si>
    <t>*For Time, please only state AM or PM.</t>
  </si>
  <si>
    <t>EVERY TUE: 4-6PM CPS BILLBOARD (2 HOURS)</t>
  </si>
  <si>
    <t>AVAILABLE AUDIO: 6 HOURS</t>
  </si>
  <si>
    <t>EVERY WED: 5-6PM CPS BILLBOARD (1 HOUR)</t>
  </si>
  <si>
    <t>AVAILABLE AUDIO: 7 HOURS</t>
  </si>
  <si>
    <t>EVERY FRI: 4-6PM CPS BILLBOARD (2 HOURS)</t>
  </si>
  <si>
    <t>YEAR</t>
  </si>
  <si>
    <t>MONTH</t>
  </si>
  <si>
    <t>Vesak Day</t>
  </si>
  <si>
    <t>National Day</t>
  </si>
  <si>
    <t>Deepavali</t>
  </si>
  <si>
    <t>Audio &amp; Mastering</t>
  </si>
  <si>
    <r>
      <t xml:space="preserve">*DUE DATE: Please include your </t>
    </r>
    <r>
      <rPr>
        <b/>
        <sz val="12"/>
        <color rgb="FFFF0000"/>
        <rFont val="Trebuchet MS"/>
        <family val="2"/>
      </rPr>
      <t>PROMO TX DATE</t>
    </r>
    <r>
      <rPr>
        <b/>
        <sz val="12"/>
        <color theme="1"/>
        <rFont val="Trebuchet MS"/>
        <family val="2"/>
      </rPr>
      <t xml:space="preserve"> or </t>
    </r>
    <r>
      <rPr>
        <b/>
        <sz val="12"/>
        <color rgb="FFFF0000"/>
        <rFont val="Trebuchet MS"/>
        <family val="2"/>
      </rPr>
      <t>APPROVAL DUE DATE</t>
    </r>
  </si>
  <si>
    <t>DAY</t>
  </si>
  <si>
    <t>MONDAY</t>
  </si>
  <si>
    <t>TUESDAY</t>
  </si>
  <si>
    <t>WEDNESDAY</t>
  </si>
  <si>
    <t>THURSDAY</t>
  </si>
  <si>
    <t>FRIDAY</t>
  </si>
  <si>
    <t>DATE</t>
  </si>
  <si>
    <t>Yan</t>
  </si>
  <si>
    <t>LABOUR DAY</t>
  </si>
  <si>
    <t>(Wayne) GEM GTO Stunt</t>
  </si>
  <si>
    <t>(Dorothy) ONE Running Man Digital Campaign</t>
  </si>
  <si>
    <t xml:space="preserve">(Wayne) GEM Inspirational quotes from Great Teacher </t>
  </si>
  <si>
    <t>(Freelancer) GEM GEM Best Food Moments - Moco's Travel Kitchen S2 &amp; Bananaman's Gotcha Gourmet</t>
  </si>
  <si>
    <t>Korea team</t>
  </si>
  <si>
    <t>Freelancer</t>
  </si>
  <si>
    <t>(Wayne) KCM Ident 2</t>
  </si>
  <si>
    <t>CPS</t>
  </si>
  <si>
    <t>CC IPP</t>
  </si>
  <si>
    <t>(Susan) AXN How To Be a Hero</t>
  </si>
  <si>
    <t>(Susan) KCGM Spot</t>
  </si>
  <si>
    <t>(Susan) AXN Blue Bloods 13</t>
  </si>
  <si>
    <t>(Daniel) [Animax TW] Dubbing Talents Campaign (tbc)</t>
  </si>
  <si>
    <t>(Susan) KCGM Spot (changes)</t>
  </si>
  <si>
    <t>(Dorothy) ONE Running Man Contest Spot</t>
  </si>
  <si>
    <t>HARI RAYA HAJI</t>
  </si>
  <si>
    <t>NATIONAL DAY</t>
  </si>
  <si>
    <t>DEEPAVALI OBSERVED</t>
  </si>
  <si>
    <t>CHRISTMAS DAY</t>
  </si>
  <si>
    <t>All Freelance Bookings Sorted by Due Dates:</t>
  </si>
  <si>
    <t>Booking Date</t>
  </si>
  <si>
    <t>Channel</t>
  </si>
  <si>
    <t>Project</t>
  </si>
  <si>
    <t>Facility</t>
  </si>
  <si>
    <t>AM/PM</t>
  </si>
  <si>
    <t>Due Date</t>
  </si>
  <si>
    <t>AXN</t>
  </si>
  <si>
    <t>GEM</t>
  </si>
  <si>
    <t>ANIMAX</t>
  </si>
  <si>
    <t>ONE</t>
  </si>
  <si>
    <t>Dur (hrs)</t>
  </si>
  <si>
    <t>Tilte</t>
  </si>
  <si>
    <t>Start Time</t>
  </si>
  <si>
    <t>Category</t>
  </si>
  <si>
    <t>Audio Engineer</t>
  </si>
  <si>
    <t>Date</t>
  </si>
  <si>
    <t>Start time</t>
  </si>
  <si>
    <t>End time</t>
  </si>
  <si>
    <t>Producer &amp; Project Title</t>
  </si>
  <si>
    <t>Hours</t>
  </si>
  <si>
    <t>End Time</t>
  </si>
  <si>
    <t>Kerry</t>
  </si>
  <si>
    <t>Costings</t>
  </si>
  <si>
    <t>PO numbers</t>
  </si>
  <si>
    <t>Oakey</t>
  </si>
  <si>
    <t>Lin</t>
  </si>
  <si>
    <t>Verify if hours match</t>
  </si>
  <si>
    <t>Upload bookings to Outsource Audio calendar</t>
  </si>
  <si>
    <t>Delete all bookings from selected month in Outsource Audio calendar</t>
  </si>
  <si>
    <t>Producer</t>
  </si>
  <si>
    <r>
      <t xml:space="preserve">Before proceeding, open </t>
    </r>
    <r>
      <rPr>
        <b/>
        <u/>
        <sz val="12"/>
        <color theme="5" tint="-0.249977111117893"/>
        <rFont val="Trebuchet MS"/>
        <family val="2"/>
      </rPr>
      <t>Outlook desktop</t>
    </r>
    <r>
      <rPr>
        <b/>
        <sz val="12"/>
        <color theme="5" tint="-0.249977111117893"/>
        <rFont val="Trebuchet MS"/>
        <family val="2"/>
      </rPr>
      <t xml:space="preserve">
and close </t>
    </r>
    <r>
      <rPr>
        <b/>
        <u/>
        <sz val="12"/>
        <color theme="5" tint="-0.249977111117893"/>
        <rFont val="Trebuchet MS"/>
        <family val="2"/>
      </rPr>
      <t>Outlook Web</t>
    </r>
    <r>
      <rPr>
        <b/>
        <sz val="12"/>
        <color theme="5" tint="-0.249977111117893"/>
        <rFont val="Trebuchet MS"/>
        <family val="2"/>
      </rPr>
      <t xml:space="preserve"> to avoid errors.</t>
    </r>
  </si>
  <si>
    <t xml:space="preserve">	Hari Raya Haji</t>
  </si>
  <si>
    <t>Deepavali Observed</t>
  </si>
  <si>
    <t>Christmas Day</t>
  </si>
  <si>
    <t>YAN ON LEAVE</t>
  </si>
  <si>
    <t>VESAK DAY</t>
  </si>
  <si>
    <t>(Dorothy) ONE Monthly Highlights</t>
  </si>
  <si>
    <t>(Daniel) EA Month of Sequel Stunt</t>
  </si>
  <si>
    <t>(JC) AXN TW James Bond Month stunt(due date: 6/20)</t>
  </si>
  <si>
    <t>(Freelancer) TW Re: ZERO Stunt</t>
  </si>
  <si>
    <t>(Susan) AXN Titles</t>
  </si>
  <si>
    <t>(Freelancer) ONE Medical Drama Stunt</t>
  </si>
  <si>
    <t>(Daniel) TW Summer Campaign WAW</t>
  </si>
  <si>
    <t>(Susan) AXN SWAT 6 TM Net Contest</t>
  </si>
  <si>
    <t>(Susan) GEM Variety title (TBC)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</si>
</sst>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"/>
    <numFmt numFmtId="165" formatCode="ddd"/>
    <numFmt numFmtId="166" formatCode="dd\-mmm\-yy"/>
    <numFmt numFmtId="167" formatCode="mmmm\-yyyy"/>
    <numFmt numFmtId="168" formatCode="mm/dd/yyyy"/>
    <numFmt numFmtId="169" formatCode="mm/dd/yyyy\ hh:mm"/>
    <numFmt numFmtId="170" formatCode="h:mm;@"/>
    <numFmt numFmtId="171" formatCode="[$SGD]\ #,##0"/>
    <numFmt numFmtId="172" formatCode="[$HKD]\ #,##0"/>
  </numFmts>
  <fonts count="40">
    <font>
      <sz val="12"/>
      <color theme="1"/>
      <name val="Calibri"/>
      <family val="2"/>
      <scheme val="minor"/>
    </font>
    <font>
      <b/>
      <sz val="11"/>
      <color theme="1"/>
      <name val="Trebuchet MS"/>
      <family val="2"/>
    </font>
    <font>
      <b/>
      <sz val="12"/>
      <color theme="1"/>
      <name val="Trebuchet MS"/>
      <family val="2"/>
    </font>
    <font>
      <sz val="11"/>
      <color theme="1"/>
      <name val="Trebuchet MS"/>
      <family val="2"/>
    </font>
    <font>
      <b/>
      <sz val="12"/>
      <color rgb="FFFF0000"/>
      <name val="Trebuchet MS"/>
      <family val="2"/>
    </font>
    <font>
      <b/>
      <sz val="14"/>
      <color rgb="FFFF0000"/>
      <name val="Trebuchet MS"/>
      <family val="2"/>
    </font>
    <font>
      <b/>
      <sz val="11"/>
      <color rgb="FF00B050"/>
      <name val="Trebuchet MS"/>
      <family val="2"/>
    </font>
    <font>
      <u/>
      <sz val="12"/>
      <color theme="10"/>
      <name val="Calibri"/>
      <family val="2"/>
      <scheme val="minor"/>
    </font>
    <font>
      <b/>
      <sz val="36"/>
      <color theme="1"/>
      <name val="Trebuchet MS"/>
      <family val="2"/>
    </font>
    <font>
      <b/>
      <sz val="16"/>
      <color theme="1"/>
      <name val="Trebuchet MS"/>
      <family val="2"/>
    </font>
    <font>
      <b/>
      <sz val="20"/>
      <color theme="1"/>
      <name val="Trebuchet MS"/>
      <family val="2"/>
    </font>
    <font>
      <b/>
      <sz val="12"/>
      <color theme="0"/>
      <name val="Trebuchet MS"/>
      <family val="2"/>
    </font>
    <font>
      <b/>
      <sz val="11"/>
      <color rgb="FF0070C0"/>
      <name val="Trebuchet MS"/>
      <family val="2"/>
    </font>
    <font>
      <b/>
      <sz val="11"/>
      <color rgb="FF333333"/>
      <name val="Trebuchet MS"/>
      <family val="2"/>
    </font>
    <font>
      <b/>
      <sz val="11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rgb="FF000000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Trebuchet MS"/>
      <family val="2"/>
    </font>
    <font>
      <sz val="12"/>
      <color theme="1"/>
      <name val="Trebuchet MS"/>
      <family val="2"/>
    </font>
    <font>
      <b/>
      <sz val="14"/>
      <color rgb="FF000000"/>
      <name val="Trebuchet MS"/>
      <family val="2"/>
    </font>
    <font>
      <sz val="12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Trebuchet MS"/>
      <family val="2"/>
    </font>
    <font>
      <sz val="13"/>
      <color theme="1"/>
      <name val="Trebuchet MS"/>
      <family val="2"/>
    </font>
    <font>
      <b/>
      <sz val="16"/>
      <color theme="0"/>
      <name val="Trebuchet MS"/>
      <family val="2"/>
    </font>
    <font>
      <sz val="12"/>
      <name val="Trebuchet MS"/>
      <family val="2"/>
    </font>
    <font>
      <b/>
      <sz val="12"/>
      <color theme="5" tint="-0.249977111117893"/>
      <name val="Trebuchet MS"/>
      <family val="2"/>
    </font>
    <font>
      <b/>
      <u/>
      <sz val="12"/>
      <color theme="5" tint="-0.249977111117893"/>
      <name val="Trebuchet MS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4"/>
      <color rgb="FFFFFFFF"/>
      <name val="Calibri"/>
      <family val="2"/>
    </font>
    <font>
      <sz val="30"/>
      <color rgb="FFFF6600"/>
      <name val="Britannic Bold"/>
    </font>
  </fonts>
  <fills count="3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B6E4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2CC"/>
        <bgColor rgb="FFFFF2CC"/>
      </patternFill>
    </fill>
    <fill>
      <patternFill patternType="solid">
        <fgColor rgb="FFCCCCCC"/>
        <bgColor rgb="FFCCCCCC"/>
      </patternFill>
    </fill>
    <fill>
      <patternFill patternType="solid">
        <fgColor rgb="FF980000"/>
        <bgColor rgb="FF980000"/>
      </patternFill>
    </fill>
    <fill>
      <patternFill patternType="solid">
        <fgColor rgb="FFB6D7A8"/>
        <bgColor rgb="FFB6D7A8"/>
      </patternFill>
    </fill>
    <fill>
      <patternFill patternType="solid">
        <fgColor rgb="FFB4A7D6"/>
        <bgColor rgb="FFB4A7D6"/>
      </patternFill>
    </fill>
    <fill>
      <patternFill patternType="solid">
        <fgColor rgb="FFF6B26B"/>
        <bgColor rgb="FFF6B26B"/>
      </patternFill>
    </fill>
    <fill>
      <patternFill patternType="solid">
        <fgColor rgb="FFF1C232"/>
        <bgColor rgb="FFF1C232"/>
      </patternFill>
    </fill>
    <fill>
      <patternFill patternType="solid">
        <fgColor rgb="FFE06666"/>
        <bgColor rgb="FFE06666"/>
      </patternFill>
    </fill>
    <fill>
      <patternFill patternType="solid">
        <fgColor rgb="FFC9DAF8"/>
        <bgColor rgb="FFC9DAF8"/>
      </patternFill>
    </fill>
    <fill>
      <patternFill patternType="solid">
        <fgColor rgb="FF999999"/>
        <bgColor rgb="FF999999"/>
      </patternFill>
    </fill>
    <fill>
      <patternFill patternType="solid">
        <fgColor rgb="FFFFD966"/>
        <bgColor rgb="FFFFD966"/>
      </patternFill>
    </fill>
    <fill>
      <patternFill patternType="solid">
        <fgColor theme="9" tint="0.39997558519241921"/>
        <bgColor rgb="FFFFD966"/>
      </patternFill>
    </fill>
    <fill>
      <patternFill patternType="solid">
        <fgColor theme="9" tint="0.79998168889431442"/>
        <bgColor rgb="FFFFF2C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rgb="FFCFE2F3"/>
      </patternFill>
    </fill>
    <fill>
      <patternFill patternType="solid">
        <fgColor rgb="FFE2B6E4"/>
        <bgColor rgb="FFCFE2F3"/>
      </patternFill>
    </fill>
    <fill>
      <patternFill patternType="solid">
        <fgColor rgb="FFF5E6F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7B7B7"/>
        <bgColor rgb="FFB7B7B7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34998626667073579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1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5" borderId="0" xfId="0" applyFont="1" applyFill="1"/>
    <xf numFmtId="0" fontId="2" fillId="5" borderId="0" xfId="0" applyFont="1" applyFill="1"/>
    <xf numFmtId="0" fontId="5" fillId="6" borderId="0" xfId="0" applyFont="1" applyFill="1"/>
    <xf numFmtId="0" fontId="6" fillId="6" borderId="0" xfId="0" applyFont="1" applyFill="1"/>
    <xf numFmtId="164" fontId="2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3" borderId="10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4" xfId="0" applyFont="1" applyFill="1" applyBorder="1" applyAlignment="1">
      <alignment vertical="center"/>
    </xf>
    <xf numFmtId="20" fontId="1" fillId="5" borderId="0" xfId="0" applyNumberFormat="1" applyFont="1" applyFill="1"/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8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164" fontId="2" fillId="4" borderId="3" xfId="0" applyNumberFormat="1" applyFont="1" applyFill="1" applyBorder="1" applyAlignment="1">
      <alignment horizontal="right" vertical="center"/>
    </xf>
    <xf numFmtId="164" fontId="2" fillId="4" borderId="14" xfId="0" applyNumberFormat="1" applyFont="1" applyFill="1" applyBorder="1" applyAlignment="1">
      <alignment horizontal="right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16" fontId="1" fillId="0" borderId="11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" fontId="1" fillId="0" borderId="5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16" fontId="1" fillId="0" borderId="7" xfId="0" applyNumberFormat="1" applyFont="1" applyBorder="1" applyAlignment="1">
      <alignment horizontal="center" vertical="center"/>
    </xf>
    <xf numFmtId="166" fontId="13" fillId="0" borderId="1" xfId="0" applyNumberFormat="1" applyFont="1" applyBorder="1" applyAlignment="1">
      <alignment horizontal="center" vertical="center" wrapText="1"/>
    </xf>
    <xf numFmtId="165" fontId="13" fillId="0" borderId="2" xfId="0" applyNumberFormat="1" applyFont="1" applyBorder="1" applyAlignment="1">
      <alignment horizontal="center" vertical="center" wrapText="1"/>
    </xf>
    <xf numFmtId="0" fontId="14" fillId="0" borderId="3" xfId="1" applyFont="1" applyFill="1" applyBorder="1" applyAlignment="1">
      <alignment horizontal="center" vertical="center" wrapText="1"/>
    </xf>
    <xf numFmtId="166" fontId="13" fillId="0" borderId="4" xfId="0" applyNumberFormat="1" applyFont="1" applyBorder="1" applyAlignment="1">
      <alignment horizontal="center" vertical="center" wrapText="1"/>
    </xf>
    <xf numFmtId="165" fontId="13" fillId="0" borderId="0" xfId="0" applyNumberFormat="1" applyFont="1" applyAlignment="1">
      <alignment horizontal="center" vertical="center" wrapText="1"/>
    </xf>
    <xf numFmtId="0" fontId="14" fillId="0" borderId="5" xfId="1" applyFont="1" applyFill="1" applyBorder="1" applyAlignment="1">
      <alignment horizontal="center" vertical="center" wrapText="1"/>
    </xf>
    <xf numFmtId="166" fontId="13" fillId="0" borderId="8" xfId="0" applyNumberFormat="1" applyFont="1" applyBorder="1" applyAlignment="1">
      <alignment horizontal="center" vertical="center" wrapText="1"/>
    </xf>
    <xf numFmtId="165" fontId="13" fillId="0" borderId="6" xfId="0" applyNumberFormat="1" applyFont="1" applyBorder="1" applyAlignment="1">
      <alignment horizontal="center" vertical="center" wrapText="1"/>
    </xf>
    <xf numFmtId="0" fontId="14" fillId="0" borderId="7" xfId="1" applyFont="1" applyFill="1" applyBorder="1" applyAlignment="1">
      <alignment horizontal="center" vertical="center" wrapText="1"/>
    </xf>
    <xf numFmtId="0" fontId="2" fillId="0" borderId="0" xfId="0" applyFont="1"/>
    <xf numFmtId="0" fontId="19" fillId="10" borderId="23" xfId="0" applyFont="1" applyFill="1" applyBorder="1" applyAlignment="1">
      <alignment horizontal="center" vertical="center"/>
    </xf>
    <xf numFmtId="0" fontId="20" fillId="10" borderId="23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164" fontId="2" fillId="4" borderId="0" xfId="0" applyNumberFormat="1" applyFont="1" applyFill="1" applyAlignment="1">
      <alignment horizontal="center" vertical="center"/>
    </xf>
    <xf numFmtId="0" fontId="1" fillId="20" borderId="32" xfId="0" applyFont="1" applyFill="1" applyBorder="1" applyAlignment="1">
      <alignment horizontal="center" vertical="center"/>
    </xf>
    <xf numFmtId="0" fontId="3" fillId="10" borderId="32" xfId="0" applyFont="1" applyFill="1" applyBorder="1" applyAlignment="1">
      <alignment horizontal="center" vertical="center" wrapText="1"/>
    </xf>
    <xf numFmtId="0" fontId="3" fillId="10" borderId="32" xfId="0" applyFont="1" applyFill="1" applyBorder="1" applyAlignment="1">
      <alignment horizontal="center" vertical="center"/>
    </xf>
    <xf numFmtId="14" fontId="3" fillId="10" borderId="32" xfId="0" applyNumberFormat="1" applyFont="1" applyFill="1" applyBorder="1" applyAlignment="1">
      <alignment horizontal="center" vertical="center" wrapText="1"/>
    </xf>
    <xf numFmtId="0" fontId="3" fillId="22" borderId="32" xfId="0" applyFont="1" applyFill="1" applyBorder="1" applyAlignment="1">
      <alignment horizontal="center" vertical="center"/>
    </xf>
    <xf numFmtId="0" fontId="3" fillId="22" borderId="37" xfId="0" applyFont="1" applyFill="1" applyBorder="1" applyAlignment="1">
      <alignment horizontal="center" vertical="center"/>
    </xf>
    <xf numFmtId="0" fontId="1" fillId="21" borderId="36" xfId="0" applyFont="1" applyFill="1" applyBorder="1" applyAlignment="1">
      <alignment horizontal="center" vertical="center"/>
    </xf>
    <xf numFmtId="14" fontId="3" fillId="0" borderId="32" xfId="0" applyNumberFormat="1" applyFont="1" applyBorder="1" applyAlignment="1">
      <alignment horizontal="center" vertical="center"/>
    </xf>
    <xf numFmtId="168" fontId="3" fillId="10" borderId="32" xfId="0" applyNumberFormat="1" applyFont="1" applyFill="1" applyBorder="1" applyAlignment="1">
      <alignment horizontal="center" vertical="center"/>
    </xf>
    <xf numFmtId="14" fontId="3" fillId="22" borderId="37" xfId="0" applyNumberFormat="1" applyFont="1" applyFill="1" applyBorder="1" applyAlignment="1">
      <alignment horizontal="center" vertical="center" wrapText="1"/>
    </xf>
    <xf numFmtId="0" fontId="24" fillId="22" borderId="37" xfId="1" applyFont="1" applyFill="1" applyBorder="1" applyAlignment="1">
      <alignment horizontal="center" vertical="center"/>
    </xf>
    <xf numFmtId="169" fontId="3" fillId="22" borderId="37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26" borderId="32" xfId="0" applyFont="1" applyFill="1" applyBorder="1" applyAlignment="1">
      <alignment horizontal="center" vertical="center"/>
    </xf>
    <xf numFmtId="0" fontId="28" fillId="27" borderId="32" xfId="0" applyFont="1" applyFill="1" applyBorder="1" applyAlignment="1">
      <alignment horizontal="center" vertical="center"/>
    </xf>
    <xf numFmtId="0" fontId="29" fillId="27" borderId="32" xfId="0" applyFont="1" applyFill="1" applyBorder="1" applyAlignment="1">
      <alignment horizontal="center" vertical="center"/>
    </xf>
    <xf numFmtId="171" fontId="29" fillId="27" borderId="32" xfId="0" applyNumberFormat="1" applyFont="1" applyFill="1" applyBorder="1" applyAlignment="1">
      <alignment horizontal="center" vertical="center"/>
    </xf>
    <xf numFmtId="0" fontId="21" fillId="25" borderId="32" xfId="0" applyFont="1" applyFill="1" applyBorder="1" applyAlignment="1">
      <alignment horizontal="center" vertical="center"/>
    </xf>
    <xf numFmtId="168" fontId="29" fillId="24" borderId="32" xfId="0" applyNumberFormat="1" applyFont="1" applyFill="1" applyBorder="1" applyAlignment="1">
      <alignment horizontal="center" vertical="center"/>
    </xf>
    <xf numFmtId="170" fontId="29" fillId="24" borderId="32" xfId="0" applyNumberFormat="1" applyFont="1" applyFill="1" applyBorder="1" applyAlignment="1">
      <alignment horizontal="center" vertical="center"/>
    </xf>
    <xf numFmtId="49" fontId="29" fillId="24" borderId="32" xfId="0" applyNumberFormat="1" applyFont="1" applyFill="1" applyBorder="1" applyAlignment="1">
      <alignment horizontal="center" vertical="center" wrapText="1"/>
    </xf>
    <xf numFmtId="49" fontId="28" fillId="24" borderId="32" xfId="0" applyNumberFormat="1" applyFont="1" applyFill="1" applyBorder="1" applyAlignment="1">
      <alignment horizontal="center" vertical="center"/>
    </xf>
    <xf numFmtId="1" fontId="29" fillId="24" borderId="32" xfId="0" applyNumberFormat="1" applyFont="1" applyFill="1" applyBorder="1" applyAlignment="1">
      <alignment horizontal="center" vertical="center"/>
    </xf>
    <xf numFmtId="49" fontId="29" fillId="24" borderId="32" xfId="0" applyNumberFormat="1" applyFont="1" applyFill="1" applyBorder="1" applyAlignment="1">
      <alignment horizontal="center" vertical="center"/>
    </xf>
    <xf numFmtId="1" fontId="29" fillId="27" borderId="32" xfId="0" applyNumberFormat="1" applyFont="1" applyFill="1" applyBorder="1" applyAlignment="1">
      <alignment horizontal="center" vertical="center"/>
    </xf>
    <xf numFmtId="172" fontId="29" fillId="27" borderId="32" xfId="0" applyNumberFormat="1" applyFont="1" applyFill="1" applyBorder="1" applyAlignment="1">
      <alignment horizontal="center" vertical="center"/>
    </xf>
    <xf numFmtId="0" fontId="1" fillId="29" borderId="39" xfId="0" applyFont="1" applyFill="1" applyBorder="1" applyAlignment="1">
      <alignment horizontal="center" vertical="center"/>
    </xf>
    <xf numFmtId="0" fontId="1" fillId="4" borderId="39" xfId="0" applyFont="1" applyFill="1" applyBorder="1" applyAlignment="1">
      <alignment horizontal="center" vertical="center"/>
    </xf>
    <xf numFmtId="0" fontId="35" fillId="0" borderId="0" xfId="0" applyFont="1"/>
    <xf numFmtId="0" fontId="36" fillId="10" borderId="23" xfId="0" applyFont="1" applyFill="1" applyBorder="1" applyAlignment="1">
      <alignment horizontal="center" vertical="center"/>
    </xf>
    <xf numFmtId="0" fontId="37" fillId="10" borderId="23" xfId="0" applyFont="1" applyFill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24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 wrapText="1"/>
    </xf>
    <xf numFmtId="0" fontId="16" fillId="0" borderId="27" xfId="0" applyFont="1" applyBorder="1"/>
    <xf numFmtId="0" fontId="17" fillId="11" borderId="24" xfId="0" applyFont="1" applyFill="1" applyBorder="1" applyAlignment="1">
      <alignment horizontal="center" vertical="center"/>
    </xf>
    <xf numFmtId="0" fontId="34" fillId="12" borderId="24" xfId="0" applyFont="1" applyFill="1" applyBorder="1" applyAlignment="1">
      <alignment horizontal="center" vertical="center"/>
    </xf>
    <xf numFmtId="0" fontId="16" fillId="0" borderId="26" xfId="0" applyFont="1" applyBorder="1"/>
    <xf numFmtId="0" fontId="36" fillId="16" borderId="24" xfId="0" applyFont="1" applyFill="1" applyBorder="1" applyAlignment="1">
      <alignment horizontal="center" vertical="center" wrapText="1"/>
    </xf>
    <xf numFmtId="0" fontId="35" fillId="19" borderId="24" xfId="0" applyFont="1" applyFill="1" applyBorder="1" applyAlignment="1">
      <alignment horizontal="center" vertical="center"/>
    </xf>
    <xf numFmtId="167" fontId="34" fillId="9" borderId="20" xfId="0" applyNumberFormat="1" applyFont="1" applyFill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36" fillId="17" borderId="26" xfId="0" applyFont="1" applyFill="1" applyBorder="1" applyAlignment="1">
      <alignment horizontal="center" vertical="center" wrapText="1"/>
    </xf>
    <xf numFmtId="0" fontId="36" fillId="14" borderId="26" xfId="0" applyFont="1" applyFill="1" applyBorder="1" applyAlignment="1">
      <alignment horizontal="center" vertical="center" wrapText="1"/>
    </xf>
    <xf numFmtId="0" fontId="38" fillId="30" borderId="24" xfId="0" applyFont="1" applyFill="1" applyBorder="1" applyAlignment="1">
      <alignment horizontal="center" vertical="center" wrapText="1"/>
    </xf>
    <xf numFmtId="0" fontId="36" fillId="18" borderId="25" xfId="0" applyFont="1" applyFill="1" applyBorder="1" applyAlignment="1">
      <alignment horizontal="center" vertical="center" wrapText="1"/>
    </xf>
    <xf numFmtId="0" fontId="16" fillId="0" borderId="29" xfId="0" applyFont="1" applyBorder="1"/>
    <xf numFmtId="0" fontId="16" fillId="0" borderId="28" xfId="0" applyFont="1" applyBorder="1"/>
    <xf numFmtId="0" fontId="16" fillId="0" borderId="30" xfId="0" applyFont="1" applyBorder="1"/>
    <xf numFmtId="0" fontId="36" fillId="18" borderId="26" xfId="0" applyFont="1" applyFill="1" applyBorder="1" applyAlignment="1">
      <alignment horizontal="center" vertical="center" wrapText="1"/>
    </xf>
    <xf numFmtId="0" fontId="15" fillId="15" borderId="25" xfId="0" applyFont="1" applyFill="1" applyBorder="1" applyAlignment="1">
      <alignment horizontal="center" vertical="center" wrapText="1"/>
    </xf>
    <xf numFmtId="0" fontId="19" fillId="16" borderId="24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/>
    </xf>
    <xf numFmtId="167" fontId="18" fillId="9" borderId="20" xfId="0" applyNumberFormat="1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5" fillId="13" borderId="25" xfId="0" applyFont="1" applyFill="1" applyBorder="1" applyAlignment="1">
      <alignment horizontal="center" vertical="center" wrapText="1"/>
    </xf>
    <xf numFmtId="0" fontId="15" fillId="14" borderId="26" xfId="0" applyFont="1" applyFill="1" applyBorder="1" applyAlignment="1">
      <alignment horizontal="center" vertical="center" wrapText="1"/>
    </xf>
    <xf numFmtId="0" fontId="15" fillId="17" borderId="26" xfId="0" applyFont="1" applyFill="1" applyBorder="1" applyAlignment="1">
      <alignment horizontal="center" vertical="center" wrapText="1"/>
    </xf>
    <xf numFmtId="0" fontId="15" fillId="18" borderId="26" xfId="0" applyFont="1" applyFill="1" applyBorder="1" applyAlignment="1">
      <alignment horizontal="center" vertical="center" wrapText="1"/>
    </xf>
    <xf numFmtId="0" fontId="15" fillId="18" borderId="25" xfId="0" applyFont="1" applyFill="1" applyBorder="1" applyAlignment="1">
      <alignment horizontal="center" vertical="center" wrapText="1"/>
    </xf>
    <xf numFmtId="0" fontId="0" fillId="19" borderId="24" xfId="0" applyFill="1" applyBorder="1" applyAlignment="1">
      <alignment horizontal="center" vertical="center"/>
    </xf>
    <xf numFmtId="0" fontId="36" fillId="5" borderId="24" xfId="0" applyFont="1" applyFill="1" applyBorder="1" applyAlignment="1">
      <alignment horizontal="center" vertical="center"/>
    </xf>
    <xf numFmtId="0" fontId="36" fillId="13" borderId="25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left" vertical="center"/>
    </xf>
    <xf numFmtId="0" fontId="2" fillId="4" borderId="13" xfId="0" applyFont="1" applyFill="1" applyBorder="1" applyAlignment="1">
      <alignment horizontal="left" vertical="center"/>
    </xf>
    <xf numFmtId="0" fontId="9" fillId="7" borderId="18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left" vertical="center"/>
    </xf>
    <xf numFmtId="14" fontId="2" fillId="4" borderId="13" xfId="0" applyNumberFormat="1" applyFont="1" applyFill="1" applyBorder="1" applyAlignment="1">
      <alignment horizontal="left" vertical="center"/>
    </xf>
    <xf numFmtId="17" fontId="8" fillId="8" borderId="15" xfId="0" applyNumberFormat="1" applyFont="1" applyFill="1" applyBorder="1" applyAlignment="1">
      <alignment horizontal="left" vertical="center" indent="3"/>
    </xf>
    <xf numFmtId="17" fontId="8" fillId="8" borderId="16" xfId="0" applyNumberFormat="1" applyFont="1" applyFill="1" applyBorder="1" applyAlignment="1">
      <alignment horizontal="left" vertical="center" indent="3"/>
    </xf>
    <xf numFmtId="0" fontId="9" fillId="0" borderId="16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21" fillId="20" borderId="33" xfId="0" applyFont="1" applyFill="1" applyBorder="1" applyAlignment="1">
      <alignment horizontal="left" vertical="center"/>
    </xf>
    <xf numFmtId="0" fontId="21" fillId="20" borderId="34" xfId="0" applyFont="1" applyFill="1" applyBorder="1" applyAlignment="1">
      <alignment horizontal="left" vertical="center"/>
    </xf>
    <xf numFmtId="0" fontId="21" fillId="20" borderId="35" xfId="0" applyFont="1" applyFill="1" applyBorder="1" applyAlignment="1">
      <alignment horizontal="left" vertical="center"/>
    </xf>
    <xf numFmtId="0" fontId="21" fillId="21" borderId="36" xfId="0" applyFont="1" applyFill="1" applyBorder="1" applyAlignment="1">
      <alignment horizontal="left" vertical="center"/>
    </xf>
    <xf numFmtId="0" fontId="22" fillId="0" borderId="38" xfId="0" applyFont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32" fillId="0" borderId="49" xfId="0" applyFont="1" applyBorder="1" applyAlignment="1">
      <alignment horizontal="left" vertical="center" wrapText="1" indent="3"/>
    </xf>
    <xf numFmtId="0" fontId="32" fillId="0" borderId="0" xfId="0" applyFont="1" applyAlignment="1">
      <alignment horizontal="left" vertical="center" wrapText="1" indent="3"/>
    </xf>
    <xf numFmtId="0" fontId="22" fillId="0" borderId="40" xfId="0" applyFont="1" applyBorder="1" applyAlignment="1">
      <alignment horizontal="center" vertical="center"/>
    </xf>
    <xf numFmtId="0" fontId="31" fillId="23" borderId="39" xfId="0" applyFont="1" applyFill="1" applyBorder="1" applyAlignment="1">
      <alignment horizontal="center" vertical="center"/>
    </xf>
    <xf numFmtId="0" fontId="22" fillId="23" borderId="39" xfId="0" applyFont="1" applyFill="1" applyBorder="1" applyAlignment="1">
      <alignment horizontal="left" vertical="center" wrapText="1" indent="6"/>
    </xf>
    <xf numFmtId="0" fontId="30" fillId="28" borderId="41" xfId="0" applyFont="1" applyFill="1" applyBorder="1" applyAlignment="1">
      <alignment horizontal="center" vertical="center"/>
    </xf>
    <xf numFmtId="0" fontId="30" fillId="28" borderId="42" xfId="0" applyFont="1" applyFill="1" applyBorder="1" applyAlignment="1">
      <alignment horizontal="center" vertical="center"/>
    </xf>
    <xf numFmtId="0" fontId="30" fillId="28" borderId="43" xfId="0" applyFont="1" applyFill="1" applyBorder="1" applyAlignment="1">
      <alignment horizontal="center" vertical="center"/>
    </xf>
    <xf numFmtId="1" fontId="9" fillId="24" borderId="44" xfId="0" applyNumberFormat="1" applyFont="1" applyFill="1" applyBorder="1" applyAlignment="1">
      <alignment horizontal="center" vertical="center"/>
    </xf>
    <xf numFmtId="1" fontId="9" fillId="24" borderId="32" xfId="0" applyNumberFormat="1" applyFont="1" applyFill="1" applyBorder="1" applyAlignment="1">
      <alignment horizontal="center" vertical="center"/>
    </xf>
    <xf numFmtId="1" fontId="9" fillId="24" borderId="45" xfId="0" applyNumberFormat="1" applyFont="1" applyFill="1" applyBorder="1" applyAlignment="1">
      <alignment horizontal="center" vertical="center"/>
    </xf>
    <xf numFmtId="1" fontId="9" fillId="27" borderId="46" xfId="0" applyNumberFormat="1" applyFont="1" applyFill="1" applyBorder="1" applyAlignment="1">
      <alignment horizontal="center" vertical="center"/>
    </xf>
    <xf numFmtId="1" fontId="9" fillId="27" borderId="47" xfId="0" applyNumberFormat="1" applyFont="1" applyFill="1" applyBorder="1" applyAlignment="1">
      <alignment horizontal="center" vertical="center"/>
    </xf>
    <xf numFmtId="1" fontId="9" fillId="27" borderId="48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38"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ill>
        <patternFill>
          <bgColor theme="7" tint="0.5999633777886288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theme="0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68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rgb="FFC53186"/>
      </font>
      <fill>
        <patternFill>
          <bgColor rgb="FFC5318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  <dxf>
      <font>
        <color theme="9" tint="-0.24994659260841701"/>
      </font>
    </dxf>
    <dxf>
      <font>
        <color theme="9" tint="-0.24994659260841701"/>
      </font>
      <fill>
        <patternFill>
          <bgColor rgb="FFFFED6B"/>
        </patternFill>
      </fill>
    </dxf>
    <dxf>
      <font>
        <color rgb="FF0070C0"/>
      </font>
    </dxf>
    <dxf>
      <font>
        <color theme="0"/>
      </font>
      <fill>
        <patternFill>
          <bgColor rgb="FFEA5463"/>
        </patternFill>
      </fill>
    </dxf>
    <dxf>
      <font>
        <color theme="0"/>
      </font>
      <fill>
        <patternFill patternType="solid">
          <bgColor rgb="FFE97C9F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976BE8"/>
        </patternFill>
      </fill>
    </dxf>
  </dxfs>
  <tableStyles count="0" defaultTableStyle="TableStyleMedium2" defaultPivotStyle="PivotStyleLight16"/>
  <colors>
    <mruColors>
      <color rgb="FFF5E6F6"/>
      <color rgb="FFE2B6E4"/>
      <color rgb="FFC53186"/>
      <color rgb="FFEA5463"/>
      <color rgb="FFFF575B"/>
      <color rgb="FFC53168"/>
      <color rgb="FFFFED6B"/>
      <color rgb="FF9DEB37"/>
      <color rgb="FF976BE8"/>
      <color rgb="FFE97C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5" fmlaLink="$AN$2" max="2033" min="2023" page="10" val="2023"/>
</file>

<file path=xl/ctrlProps/ctrlProp2.xml><?xml version="1.0" encoding="utf-8"?>
<formControlPr xmlns="http://schemas.microsoft.com/office/spreadsheetml/2009/9/main" objectType="Spin" dx="15" fmlaLink="$AN$5" max="12" min="1" page="10" val="6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15" fmlaLink="$R$9" max="2033" min="2023" page="10" val="2023"/>
</file>

<file path=xl/ctrlProps/ctrlProp9.xml><?xml version="1.0" encoding="utf-8"?>
<formControlPr xmlns="http://schemas.microsoft.com/office/spreadsheetml/2009/9/main" objectType="Spin" dx="15" fmlaLink="$R$11" max="12" min="1" page="10" val="6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15" fmlaLink="$C$2" max="2033" min="2023" page="10" val="2023"/>
</file>

<file path=xl/ctrlProps/ctrlProp13.xml><?xml version="1.0" encoding="utf-8"?>
<formControlPr xmlns="http://schemas.microsoft.com/office/spreadsheetml/2009/9/main" objectType="Spin" dx="15" fmlaLink="$C$3" max="12" min="1" page="10" val="6"/>
</file>

<file path=xl/ctrlProps/ctrlProp14.xml><?xml version="1.0" encoding="utf-8"?>
<formControlPr xmlns="http://schemas.microsoft.com/office/spreadsheetml/2009/9/main" objectType="Spin" dx="15" fmlaLink="$AN$2" max="2033" min="2023" page="10" val="2023"/>
</file>

<file path=xl/ctrlProps/ctrlProp15.xml><?xml version="1.0" encoding="utf-8"?>
<formControlPr xmlns="http://schemas.microsoft.com/office/spreadsheetml/2009/9/main" objectType="Spin" dx="15" fmlaLink="$AN$5" max="12" min="1" page="10" val="9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0</xdr:row>
          <xdr:rowOff>571500</xdr:rowOff>
        </xdr:from>
        <xdr:to>
          <xdr:col>41</xdr:col>
          <xdr:colOff>0</xdr:colOff>
          <xdr:row>3</xdr:row>
          <xdr:rowOff>0</xdr:rowOff>
        </xdr:to>
        <xdr:sp macro="" textlink="">
          <xdr:nvSpPr>
            <xdr:cNvPr id="1065" name="Spinner 41" descr="YEAR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2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901700</xdr:colOff>
          <xdr:row>4</xdr:row>
          <xdr:rowOff>0</xdr:rowOff>
        </xdr:from>
        <xdr:to>
          <xdr:col>40</xdr:col>
          <xdr:colOff>457200</xdr:colOff>
          <xdr:row>5</xdr:row>
          <xdr:rowOff>203200</xdr:rowOff>
        </xdr:to>
        <xdr:sp macro="" textlink="">
          <xdr:nvSpPr>
            <xdr:cNvPr id="1066" name="Spinner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419100</xdr:colOff>
          <xdr:row>1</xdr:row>
          <xdr:rowOff>12700</xdr:rowOff>
        </xdr:from>
        <xdr:to>
          <xdr:col>46</xdr:col>
          <xdr:colOff>342900</xdr:colOff>
          <xdr:row>3</xdr:row>
          <xdr:rowOff>127000</xdr:rowOff>
        </xdr:to>
        <xdr:sp macro="" textlink="">
          <xdr:nvSpPr>
            <xdr:cNvPr id="1067" name="Button 43" descr="GENERAT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2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FF6600"/>
                  </a:solidFill>
                  <a:latin typeface="Britannic Bold" charset="0"/>
                </a:rPr>
                <a:t>GENERATE</a:t>
              </a:r>
            </a:p>
            <a:p>
              <a:pPr algn="ctr" rtl="0">
                <a:defRPr sz="1000"/>
              </a:pPr>
              <a:endParaRPr lang="en-US" sz="3000" b="0" i="0" u="none" strike="noStrike" baseline="0">
                <a:solidFill>
                  <a:srgbClr val="FF6600"/>
                </a:solidFill>
                <a:latin typeface="Britannic Bold" charset="0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38100</xdr:rowOff>
        </xdr:from>
        <xdr:to>
          <xdr:col>0</xdr:col>
          <xdr:colOff>1562100</xdr:colOff>
          <xdr:row>5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List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Bookings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6</xdr:row>
          <xdr:rowOff>114300</xdr:rowOff>
        </xdr:from>
        <xdr:to>
          <xdr:col>0</xdr:col>
          <xdr:colOff>1562100</xdr:colOff>
          <xdr:row>9</xdr:row>
          <xdr:rowOff>63500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3</xdr:row>
          <xdr:rowOff>25400</xdr:rowOff>
        </xdr:from>
        <xdr:to>
          <xdr:col>15</xdr:col>
          <xdr:colOff>1460500</xdr:colOff>
          <xdr:row>5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266700</xdr:colOff>
          <xdr:row>8</xdr:row>
          <xdr:rowOff>25400</xdr:rowOff>
        </xdr:from>
        <xdr:to>
          <xdr:col>15</xdr:col>
          <xdr:colOff>1460500</xdr:colOff>
          <xdr:row>10</xdr:row>
          <xdr:rowOff>165100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Bookings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8</xdr:row>
          <xdr:rowOff>0</xdr:rowOff>
        </xdr:from>
        <xdr:to>
          <xdr:col>18</xdr:col>
          <xdr:colOff>444500</xdr:colOff>
          <xdr:row>10</xdr:row>
          <xdr:rowOff>0</xdr:rowOff>
        </xdr:to>
        <xdr:sp macro="" textlink="">
          <xdr:nvSpPr>
            <xdr:cNvPr id="6158" name="Spinner 14" descr="YEAR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10</xdr:row>
          <xdr:rowOff>0</xdr:rowOff>
        </xdr:from>
        <xdr:to>
          <xdr:col>18</xdr:col>
          <xdr:colOff>444500</xdr:colOff>
          <xdr:row>12</xdr:row>
          <xdr:rowOff>0</xdr:rowOff>
        </xdr:to>
        <xdr:sp macro="" textlink="">
          <xdr:nvSpPr>
            <xdr:cNvPr id="6159" name="Spinner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3</xdr:row>
          <xdr:rowOff>393700</xdr:rowOff>
        </xdr:from>
        <xdr:to>
          <xdr:col>2</xdr:col>
          <xdr:colOff>584200</xdr:colOff>
          <xdr:row>5</xdr:row>
          <xdr:rowOff>63500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</xdr:colOff>
          <xdr:row>5</xdr:row>
          <xdr:rowOff>330200</xdr:rowOff>
        </xdr:from>
        <xdr:to>
          <xdr:col>2</xdr:col>
          <xdr:colOff>584200</xdr:colOff>
          <xdr:row>6</xdr:row>
          <xdr:rowOff>431800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</xdr:colOff>
          <xdr:row>1</xdr:row>
          <xdr:rowOff>0</xdr:rowOff>
        </xdr:from>
        <xdr:to>
          <xdr:col>3</xdr:col>
          <xdr:colOff>431800</xdr:colOff>
          <xdr:row>1</xdr:row>
          <xdr:rowOff>495300</xdr:rowOff>
        </xdr:to>
        <xdr:sp macro="" textlink="">
          <xdr:nvSpPr>
            <xdr:cNvPr id="14340" name="Spinner 4" descr="YEAR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4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</xdr:colOff>
          <xdr:row>2</xdr:row>
          <xdr:rowOff>12700</xdr:rowOff>
        </xdr:from>
        <xdr:to>
          <xdr:col>3</xdr:col>
          <xdr:colOff>431800</xdr:colOff>
          <xdr:row>3</xdr:row>
          <xdr:rowOff>0</xdr:rowOff>
        </xdr:to>
        <xdr:sp macro="" textlink="">
          <xdr:nvSpPr>
            <xdr:cNvPr id="14341" name="Spinner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4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1</xdr:row>
          <xdr:rowOff>571500</xdr:rowOff>
        </xdr:from>
        <xdr:to>
          <xdr:col>41</xdr:col>
          <xdr:colOff>0</xdr:colOff>
          <xdr:row>3</xdr:row>
          <xdr:rowOff>0</xdr:rowOff>
        </xdr:to>
        <xdr:sp macro="" textlink="">
          <xdr:nvSpPr>
            <xdr:cNvPr id="16385" name="Spinner 1" descr="YEA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901700</xdr:colOff>
          <xdr:row>4</xdr:row>
          <xdr:rowOff>0</xdr:rowOff>
        </xdr:from>
        <xdr:to>
          <xdr:col>40</xdr:col>
          <xdr:colOff>457200</xdr:colOff>
          <xdr:row>5</xdr:row>
          <xdr:rowOff>203200</xdr:rowOff>
        </xdr:to>
        <xdr:sp macro="" textlink="">
          <xdr:nvSpPr>
            <xdr:cNvPr id="16386" name="Spinner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419100</xdr:colOff>
          <xdr:row>1</xdr:row>
          <xdr:rowOff>12700</xdr:rowOff>
        </xdr:from>
        <xdr:to>
          <xdr:col>46</xdr:col>
          <xdr:colOff>342900</xdr:colOff>
          <xdr:row>3</xdr:row>
          <xdr:rowOff>114300</xdr:rowOff>
        </xdr:to>
        <xdr:sp macro="" textlink="">
          <xdr:nvSpPr>
            <xdr:cNvPr id="16387" name="Button 3" descr="GENERAT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FF6600"/>
                  </a:solidFill>
                  <a:latin typeface="Britannic Bold" charset="0"/>
                </a:rPr>
                <a:t>GENERATE</a:t>
              </a:r>
            </a:p>
            <a:p>
              <a:pPr algn="ctr" rtl="0">
                <a:defRPr sz="1000"/>
              </a:pPr>
              <a:endParaRPr lang="en-US" sz="3000" b="0" i="0" u="none" strike="noStrike" baseline="0">
                <a:solidFill>
                  <a:srgbClr val="FF6600"/>
                </a:solidFill>
                <a:latin typeface="Britannic Bold" charset="0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B7902-137A-447F-8BC0-86044ADF5A9E}">
  <sheetPr codeName="Sheet4">
    <tabColor theme="7" tint="0.59999389629810485"/>
  </sheetPr>
  <dimension ref="A1:F286"/>
  <sheetViews>
    <sheetView topLeftCell="A36" zoomScaleNormal="60" workbookViewId="0">
      <selection activeCell="A251" sqref="A251"/>
    </sheetView>
  </sheetViews>
  <sheetFormatPr baseColWidth="10" defaultColWidth="8.83203125" defaultRowHeight="16"/>
  <cols>
    <col min="1" max="1" width="14.5" customWidth="1"/>
    <col min="2" max="6" width="44" customWidth="1"/>
  </cols>
  <sheetData>
    <row r="1" spans="1:6" ht="17" thickBot="1">
      <c r="A1" s="127">
        <v>45047</v>
      </c>
      <c r="B1" s="113"/>
      <c r="C1" s="113"/>
      <c r="D1" s="113"/>
      <c r="E1" s="113"/>
      <c r="F1" s="114"/>
    </row>
    <row r="2" spans="1:6">
      <c r="A2" s="56" t="s">
        <v>27</v>
      </c>
      <c r="B2" s="57" t="s">
        <v>28</v>
      </c>
      <c r="C2" s="57" t="s">
        <v>29</v>
      </c>
      <c r="D2" s="57" t="s">
        <v>30</v>
      </c>
      <c r="E2" s="57" t="s">
        <v>31</v>
      </c>
      <c r="F2" s="57" t="s">
        <v>32</v>
      </c>
    </row>
    <row r="3" spans="1:6">
      <c r="A3" s="58" t="s">
        <v>33</v>
      </c>
      <c r="B3" s="59">
        <v>1</v>
      </c>
      <c r="C3" s="59">
        <v>2</v>
      </c>
      <c r="D3" s="59">
        <v>3</v>
      </c>
      <c r="E3" s="59">
        <v>4</v>
      </c>
      <c r="F3" s="59">
        <v>5</v>
      </c>
    </row>
    <row r="4" spans="1:6">
      <c r="A4" s="107" t="s">
        <v>34</v>
      </c>
      <c r="B4" s="128" t="s">
        <v>35</v>
      </c>
      <c r="C4" s="129" t="s">
        <v>36</v>
      </c>
      <c r="D4" s="130" t="s">
        <v>37</v>
      </c>
      <c r="E4" s="129" t="s">
        <v>38</v>
      </c>
      <c r="F4" s="129" t="s">
        <v>39</v>
      </c>
    </row>
    <row r="5" spans="1:6">
      <c r="A5" s="106"/>
      <c r="B5" s="109"/>
      <c r="C5" s="120"/>
      <c r="D5" s="106"/>
      <c r="E5" s="120"/>
      <c r="F5" s="120"/>
    </row>
    <row r="6" spans="1:6">
      <c r="A6" s="107" t="s">
        <v>40</v>
      </c>
      <c r="B6" s="109"/>
      <c r="C6" s="60"/>
      <c r="D6" s="60"/>
      <c r="E6" s="60"/>
      <c r="F6" s="60"/>
    </row>
    <row r="7" spans="1:6">
      <c r="A7" s="106"/>
      <c r="B7" s="109"/>
      <c r="C7" s="61"/>
      <c r="D7" s="61"/>
      <c r="E7" s="61"/>
      <c r="F7" s="61"/>
    </row>
    <row r="8" spans="1:6">
      <c r="A8" s="107" t="s">
        <v>41</v>
      </c>
      <c r="B8" s="109"/>
      <c r="C8" s="60"/>
      <c r="D8" s="60"/>
      <c r="E8" s="60"/>
      <c r="F8" s="60"/>
    </row>
    <row r="9" spans="1:6">
      <c r="A9" s="106"/>
      <c r="B9" s="106"/>
      <c r="C9" s="61"/>
      <c r="D9" s="61"/>
      <c r="E9" s="61"/>
      <c r="F9" s="61"/>
    </row>
    <row r="10" spans="1:6">
      <c r="A10" s="58" t="s">
        <v>33</v>
      </c>
      <c r="B10" s="59">
        <f t="shared" ref="B10:F10" si="0">B3+7</f>
        <v>8</v>
      </c>
      <c r="C10" s="59">
        <f t="shared" si="0"/>
        <v>9</v>
      </c>
      <c r="D10" s="59">
        <f t="shared" si="0"/>
        <v>10</v>
      </c>
      <c r="E10" s="59">
        <f t="shared" si="0"/>
        <v>11</v>
      </c>
      <c r="F10" s="59">
        <f t="shared" si="0"/>
        <v>12</v>
      </c>
    </row>
    <row r="11" spans="1:6">
      <c r="A11" s="107" t="s">
        <v>34</v>
      </c>
      <c r="B11" s="123" t="s">
        <v>42</v>
      </c>
      <c r="C11" s="119"/>
      <c r="D11" s="124" t="s">
        <v>43</v>
      </c>
      <c r="E11" s="125" t="s">
        <v>42</v>
      </c>
      <c r="F11" s="126" t="s">
        <v>44</v>
      </c>
    </row>
    <row r="12" spans="1:6">
      <c r="A12" s="106"/>
      <c r="B12" s="120"/>
      <c r="C12" s="121"/>
      <c r="D12" s="106"/>
      <c r="E12" s="106"/>
      <c r="F12" s="106"/>
    </row>
    <row r="13" spans="1:6">
      <c r="A13" s="107" t="s">
        <v>40</v>
      </c>
      <c r="B13" s="60"/>
      <c r="C13" s="60"/>
      <c r="D13" s="60"/>
      <c r="E13" s="60"/>
      <c r="F13" s="60"/>
    </row>
    <row r="14" spans="1:6">
      <c r="A14" s="106"/>
      <c r="B14" s="61"/>
      <c r="C14" s="61"/>
      <c r="D14" s="61"/>
      <c r="E14" s="61"/>
      <c r="F14" s="61"/>
    </row>
    <row r="15" spans="1:6">
      <c r="A15" s="107" t="s">
        <v>41</v>
      </c>
      <c r="B15" s="60"/>
      <c r="C15" s="60"/>
      <c r="D15" s="60"/>
      <c r="E15" s="60"/>
      <c r="F15" s="60"/>
    </row>
    <row r="16" spans="1:6">
      <c r="A16" s="106"/>
      <c r="B16" s="61"/>
      <c r="C16" s="61"/>
      <c r="D16" s="61"/>
      <c r="E16" s="61"/>
      <c r="F16" s="61"/>
    </row>
    <row r="17" spans="1:6">
      <c r="A17" s="58" t="s">
        <v>33</v>
      </c>
      <c r="B17" s="59">
        <f t="shared" ref="B17:F17" si="1">B10+7</f>
        <v>15</v>
      </c>
      <c r="C17" s="59">
        <f t="shared" si="1"/>
        <v>16</v>
      </c>
      <c r="D17" s="59">
        <f t="shared" si="1"/>
        <v>17</v>
      </c>
      <c r="E17" s="59">
        <f t="shared" si="1"/>
        <v>18</v>
      </c>
      <c r="F17" s="59">
        <f t="shared" si="1"/>
        <v>19</v>
      </c>
    </row>
    <row r="18" spans="1:6">
      <c r="A18" s="107" t="s">
        <v>34</v>
      </c>
      <c r="B18" s="125" t="s">
        <v>42</v>
      </c>
      <c r="C18" s="131" t="s">
        <v>45</v>
      </c>
      <c r="D18" s="124" t="s">
        <v>43</v>
      </c>
      <c r="E18" s="123" t="s">
        <v>46</v>
      </c>
      <c r="F18" s="119"/>
    </row>
    <row r="19" spans="1:6">
      <c r="A19" s="106"/>
      <c r="B19" s="106"/>
      <c r="C19" s="106"/>
      <c r="D19" s="106"/>
      <c r="E19" s="120"/>
      <c r="F19" s="121"/>
    </row>
    <row r="20" spans="1:6">
      <c r="A20" s="107" t="s">
        <v>40</v>
      </c>
      <c r="B20" s="60"/>
      <c r="C20" s="60"/>
      <c r="D20" s="60"/>
      <c r="E20" s="60"/>
      <c r="F20" s="60"/>
    </row>
    <row r="21" spans="1:6">
      <c r="A21" s="106"/>
      <c r="B21" s="61"/>
      <c r="C21" s="61"/>
      <c r="D21" s="61"/>
      <c r="E21" s="61"/>
      <c r="F21" s="61"/>
    </row>
    <row r="22" spans="1:6">
      <c r="A22" s="107" t="s">
        <v>41</v>
      </c>
      <c r="B22" s="60"/>
      <c r="C22" s="60"/>
      <c r="D22" s="60"/>
      <c r="E22" s="60"/>
      <c r="F22" s="60"/>
    </row>
    <row r="23" spans="1:6">
      <c r="A23" s="106"/>
      <c r="B23" s="61"/>
      <c r="C23" s="61"/>
      <c r="D23" s="61"/>
      <c r="E23" s="61"/>
      <c r="F23" s="61"/>
    </row>
    <row r="24" spans="1:6">
      <c r="A24" s="58" t="s">
        <v>33</v>
      </c>
      <c r="B24" s="59">
        <f t="shared" ref="B24:F24" si="2">B17+7</f>
        <v>22</v>
      </c>
      <c r="C24" s="59">
        <f t="shared" si="2"/>
        <v>23</v>
      </c>
      <c r="D24" s="59">
        <f t="shared" si="2"/>
        <v>24</v>
      </c>
      <c r="E24" s="59">
        <f t="shared" si="2"/>
        <v>25</v>
      </c>
      <c r="F24" s="59">
        <f t="shared" si="2"/>
        <v>26</v>
      </c>
    </row>
    <row r="25" spans="1:6">
      <c r="A25" s="107" t="s">
        <v>34</v>
      </c>
      <c r="B25" s="131" t="s">
        <v>47</v>
      </c>
      <c r="C25" s="132" t="s">
        <v>48</v>
      </c>
      <c r="D25" s="124" t="s">
        <v>43</v>
      </c>
      <c r="E25" s="133" t="s">
        <v>48</v>
      </c>
      <c r="F25" s="119"/>
    </row>
    <row r="26" spans="1:6">
      <c r="A26" s="106"/>
      <c r="B26" s="106"/>
      <c r="C26" s="106"/>
      <c r="D26" s="106"/>
      <c r="E26" s="120"/>
      <c r="F26" s="121"/>
    </row>
    <row r="27" spans="1:6">
      <c r="A27" s="107" t="s">
        <v>40</v>
      </c>
      <c r="B27" s="60"/>
      <c r="C27" s="60"/>
      <c r="D27" s="60"/>
      <c r="E27" s="60"/>
      <c r="F27" s="60"/>
    </row>
    <row r="28" spans="1:6">
      <c r="A28" s="106"/>
      <c r="B28" s="61"/>
      <c r="C28" s="61"/>
      <c r="D28" s="61"/>
      <c r="E28" s="61"/>
      <c r="F28" s="61"/>
    </row>
    <row r="29" spans="1:6">
      <c r="A29" s="107" t="s">
        <v>41</v>
      </c>
      <c r="B29" s="60"/>
      <c r="C29" s="60"/>
      <c r="D29" s="60"/>
      <c r="E29" s="60"/>
      <c r="F29" s="60"/>
    </row>
    <row r="30" spans="1:6">
      <c r="A30" s="106"/>
      <c r="B30" s="61"/>
      <c r="C30" s="61"/>
      <c r="D30" s="61"/>
      <c r="E30" s="61"/>
      <c r="F30" s="61"/>
    </row>
    <row r="31" spans="1:6">
      <c r="A31" s="58" t="s">
        <v>33</v>
      </c>
      <c r="B31" s="59">
        <f t="shared" ref="B31:D31" si="3">B24+7</f>
        <v>29</v>
      </c>
      <c r="C31" s="59">
        <f t="shared" si="3"/>
        <v>30</v>
      </c>
      <c r="D31" s="59">
        <f t="shared" si="3"/>
        <v>31</v>
      </c>
      <c r="E31" s="134"/>
      <c r="F31" s="134"/>
    </row>
    <row r="32" spans="1:6">
      <c r="A32" s="107" t="s">
        <v>34</v>
      </c>
      <c r="B32" s="125" t="s">
        <v>49</v>
      </c>
      <c r="C32" s="130" t="s">
        <v>50</v>
      </c>
      <c r="D32" s="124" t="s">
        <v>43</v>
      </c>
      <c r="E32" s="109"/>
      <c r="F32" s="109"/>
    </row>
    <row r="33" spans="1:6">
      <c r="A33" s="106"/>
      <c r="B33" s="106"/>
      <c r="C33" s="106"/>
      <c r="D33" s="106"/>
      <c r="E33" s="109"/>
      <c r="F33" s="109"/>
    </row>
    <row r="34" spans="1:6">
      <c r="A34" s="107" t="s">
        <v>40</v>
      </c>
      <c r="B34" s="60"/>
      <c r="C34" s="60"/>
      <c r="D34" s="60"/>
      <c r="E34" s="109"/>
      <c r="F34" s="109"/>
    </row>
    <row r="35" spans="1:6">
      <c r="A35" s="106"/>
      <c r="B35" s="61"/>
      <c r="C35" s="61"/>
      <c r="D35" s="61"/>
      <c r="E35" s="109"/>
      <c r="F35" s="109"/>
    </row>
    <row r="36" spans="1:6">
      <c r="A36" s="107" t="s">
        <v>41</v>
      </c>
      <c r="B36" s="60"/>
      <c r="C36" s="60"/>
      <c r="D36" s="60"/>
      <c r="E36" s="109"/>
      <c r="F36" s="109"/>
    </row>
    <row r="37" spans="1:6" ht="17" thickBot="1">
      <c r="A37" s="106"/>
      <c r="B37" s="61"/>
      <c r="C37" s="61"/>
      <c r="D37" s="61"/>
      <c r="E37" s="106"/>
      <c r="F37" s="106"/>
    </row>
    <row r="38" spans="1:6" s="96" customFormat="1" thickBot="1">
      <c r="A38" s="112">
        <f>A1+31</f>
        <v>45078</v>
      </c>
      <c r="B38" s="113"/>
      <c r="C38" s="113"/>
      <c r="D38" s="113"/>
      <c r="E38" s="113"/>
      <c r="F38" s="114"/>
    </row>
    <row r="39" spans="1:6" s="96" customFormat="1" ht="15">
      <c r="A39" s="97" t="s">
        <v>27</v>
      </c>
      <c r="B39" s="98" t="s">
        <v>28</v>
      </c>
      <c r="C39" s="98" t="s">
        <v>29</v>
      </c>
      <c r="D39" s="98" t="s">
        <v>30</v>
      </c>
      <c r="E39" s="98" t="s">
        <v>31</v>
      </c>
      <c r="F39" s="98" t="s">
        <v>32</v>
      </c>
    </row>
    <row r="40" spans="1:6" s="96" customFormat="1" ht="15">
      <c r="A40" s="99" t="s">
        <v>33</v>
      </c>
      <c r="B40" s="111"/>
      <c r="C40" s="111"/>
      <c r="D40" s="111"/>
      <c r="E40" s="100">
        <v>1</v>
      </c>
      <c r="F40" s="100">
        <v>2</v>
      </c>
    </row>
    <row r="41" spans="1:6" s="96" customFormat="1" ht="15">
      <c r="A41" s="107" t="s">
        <v>34</v>
      </c>
      <c r="B41" s="109"/>
      <c r="C41" s="109"/>
      <c r="D41" s="109"/>
      <c r="E41" s="117" t="s">
        <v>90</v>
      </c>
      <c r="F41" s="108" t="s">
        <v>91</v>
      </c>
    </row>
    <row r="42" spans="1:6" s="96" customFormat="1" ht="15">
      <c r="A42" s="106"/>
      <c r="B42" s="109"/>
      <c r="C42" s="109"/>
      <c r="D42" s="109"/>
      <c r="E42" s="109"/>
      <c r="F42" s="109"/>
    </row>
    <row r="43" spans="1:6" s="96" customFormat="1" ht="15">
      <c r="A43" s="107" t="s">
        <v>41</v>
      </c>
      <c r="B43" s="109"/>
      <c r="C43" s="109"/>
      <c r="D43" s="109"/>
      <c r="E43" s="106"/>
      <c r="F43" s="109"/>
    </row>
    <row r="44" spans="1:6" s="96" customFormat="1" ht="15">
      <c r="A44" s="106"/>
      <c r="B44" s="106"/>
      <c r="C44" s="106"/>
      <c r="D44" s="106"/>
      <c r="E44" s="101"/>
      <c r="F44" s="106"/>
    </row>
    <row r="45" spans="1:6" s="96" customFormat="1" ht="15">
      <c r="A45" s="99" t="s">
        <v>33</v>
      </c>
      <c r="B45" s="100">
        <v>5</v>
      </c>
      <c r="C45" s="100">
        <v>6</v>
      </c>
      <c r="D45" s="100">
        <v>7</v>
      </c>
      <c r="E45" s="100">
        <v>8</v>
      </c>
      <c r="F45" s="100">
        <v>9</v>
      </c>
    </row>
    <row r="46" spans="1:6" s="96" customFormat="1" ht="15">
      <c r="A46" s="107" t="s">
        <v>34</v>
      </c>
      <c r="B46" s="135" t="s">
        <v>44</v>
      </c>
      <c r="C46" s="116" t="s">
        <v>92</v>
      </c>
      <c r="D46" s="110" t="s">
        <v>43</v>
      </c>
      <c r="E46" s="117" t="s">
        <v>90</v>
      </c>
      <c r="F46" s="117" t="s">
        <v>90</v>
      </c>
    </row>
    <row r="47" spans="1:6" s="96" customFormat="1" ht="15">
      <c r="A47" s="106"/>
      <c r="B47" s="106"/>
      <c r="C47" s="106"/>
      <c r="D47" s="106"/>
      <c r="E47" s="106"/>
      <c r="F47" s="106"/>
    </row>
    <row r="48" spans="1:6" s="96" customFormat="1" ht="15">
      <c r="A48" s="107" t="s">
        <v>41</v>
      </c>
      <c r="B48" s="102"/>
      <c r="C48" s="102"/>
      <c r="D48" s="102"/>
      <c r="E48" s="102"/>
      <c r="F48" s="122" t="s">
        <v>93</v>
      </c>
    </row>
    <row r="49" spans="1:6" s="96" customFormat="1" ht="15">
      <c r="A49" s="106"/>
      <c r="B49" s="101"/>
      <c r="C49" s="101"/>
      <c r="D49" s="101"/>
      <c r="E49" s="101"/>
      <c r="F49" s="106"/>
    </row>
    <row r="50" spans="1:6" s="96" customFormat="1" ht="15">
      <c r="A50" s="99" t="s">
        <v>33</v>
      </c>
      <c r="B50" s="100">
        <f t="shared" ref="B50:F50" si="4">B45+7</f>
        <v>12</v>
      </c>
      <c r="C50" s="100">
        <f t="shared" si="4"/>
        <v>13</v>
      </c>
      <c r="D50" s="100">
        <f t="shared" si="4"/>
        <v>14</v>
      </c>
      <c r="E50" s="100">
        <f t="shared" si="4"/>
        <v>15</v>
      </c>
      <c r="F50" s="100">
        <f t="shared" si="4"/>
        <v>16</v>
      </c>
    </row>
    <row r="51" spans="1:6" s="96" customFormat="1" ht="15">
      <c r="A51" s="107" t="s">
        <v>34</v>
      </c>
      <c r="B51" s="115" t="s">
        <v>94</v>
      </c>
      <c r="C51" s="122" t="s">
        <v>93</v>
      </c>
      <c r="D51" s="122" t="s">
        <v>95</v>
      </c>
      <c r="E51" s="110" t="s">
        <v>43</v>
      </c>
      <c r="F51" s="115" t="s">
        <v>96</v>
      </c>
    </row>
    <row r="52" spans="1:6" s="96" customFormat="1" ht="15">
      <c r="A52" s="106"/>
      <c r="B52" s="106"/>
      <c r="C52" s="106"/>
      <c r="D52" s="106"/>
      <c r="E52" s="106"/>
      <c r="F52" s="106"/>
    </row>
    <row r="53" spans="1:6" s="96" customFormat="1" ht="15">
      <c r="A53" s="107" t="s">
        <v>41</v>
      </c>
      <c r="B53" s="102"/>
      <c r="D53" s="102"/>
      <c r="E53" s="102"/>
      <c r="F53" s="102"/>
    </row>
    <row r="54" spans="1:6" s="96" customFormat="1" ht="15">
      <c r="A54" s="106"/>
      <c r="B54" s="101"/>
      <c r="D54" s="101"/>
      <c r="E54" s="101"/>
      <c r="F54" s="101"/>
    </row>
    <row r="55" spans="1:6" s="96" customFormat="1" ht="15">
      <c r="A55" s="99" t="s">
        <v>33</v>
      </c>
      <c r="B55" s="100">
        <f t="shared" ref="B55:F55" si="5">B50+7</f>
        <v>19</v>
      </c>
      <c r="C55" s="100">
        <f t="shared" si="5"/>
        <v>20</v>
      </c>
      <c r="D55" s="100">
        <f t="shared" si="5"/>
        <v>21</v>
      </c>
      <c r="E55" s="100">
        <f t="shared" si="5"/>
        <v>22</v>
      </c>
      <c r="F55" s="100">
        <f t="shared" si="5"/>
        <v>23</v>
      </c>
    </row>
    <row r="56" spans="1:6" s="96" customFormat="1" ht="15">
      <c r="A56" s="107" t="s">
        <v>34</v>
      </c>
      <c r="B56" s="115" t="s">
        <v>96</v>
      </c>
      <c r="C56" s="116" t="s">
        <v>97</v>
      </c>
      <c r="D56" s="116" t="s">
        <v>50</v>
      </c>
      <c r="E56" s="117" t="s">
        <v>90</v>
      </c>
      <c r="F56" s="117" t="s">
        <v>90</v>
      </c>
    </row>
    <row r="57" spans="1:6" s="96" customFormat="1" ht="15">
      <c r="A57" s="106"/>
      <c r="B57" s="106"/>
      <c r="C57" s="106"/>
      <c r="D57" s="106"/>
      <c r="E57" s="106"/>
      <c r="F57" s="106"/>
    </row>
    <row r="58" spans="1:6" s="96" customFormat="1" ht="15">
      <c r="A58" s="107" t="s">
        <v>41</v>
      </c>
      <c r="B58" s="105"/>
      <c r="C58" s="118" t="s">
        <v>98</v>
      </c>
      <c r="D58" s="119"/>
      <c r="E58" s="102"/>
    </row>
    <row r="59" spans="1:6" s="96" customFormat="1" ht="15">
      <c r="A59" s="106"/>
      <c r="B59" s="106"/>
      <c r="C59" s="120"/>
      <c r="D59" s="121"/>
      <c r="E59" s="101"/>
    </row>
    <row r="60" spans="1:6" s="96" customFormat="1" ht="15">
      <c r="A60" s="99" t="s">
        <v>33</v>
      </c>
      <c r="B60" s="100">
        <f t="shared" ref="B60:F60" si="6">B55+7</f>
        <v>26</v>
      </c>
      <c r="C60" s="100">
        <f t="shared" si="6"/>
        <v>27</v>
      </c>
      <c r="D60" s="100">
        <f t="shared" si="6"/>
        <v>28</v>
      </c>
      <c r="E60" s="100">
        <f t="shared" si="6"/>
        <v>29</v>
      </c>
      <c r="F60" s="100">
        <f t="shared" si="6"/>
        <v>30</v>
      </c>
    </row>
    <row r="61" spans="1:6" s="96" customFormat="1" ht="15">
      <c r="A61" s="107" t="s">
        <v>34</v>
      </c>
      <c r="B61" s="115" t="s">
        <v>99</v>
      </c>
      <c r="C61" s="110" t="s">
        <v>43</v>
      </c>
      <c r="D61" s="136" t="s">
        <v>100</v>
      </c>
      <c r="E61" s="108" t="s">
        <v>51</v>
      </c>
      <c r="F61" s="135" t="s">
        <v>44</v>
      </c>
    </row>
    <row r="62" spans="1:6" s="96" customFormat="1" ht="15">
      <c r="A62" s="106"/>
      <c r="B62" s="106"/>
      <c r="C62" s="106"/>
      <c r="D62" s="120"/>
      <c r="E62" s="109"/>
      <c r="F62" s="106"/>
    </row>
    <row r="63" spans="1:6" s="96" customFormat="1" ht="15">
      <c r="A63" s="107" t="s">
        <v>41</v>
      </c>
      <c r="B63" s="102"/>
      <c r="C63" s="102"/>
      <c r="E63" s="109"/>
      <c r="F63" s="102"/>
    </row>
    <row r="64" spans="1:6" s="96" customFormat="1" thickBot="1">
      <c r="A64" s="106"/>
      <c r="B64" s="101"/>
      <c r="C64" s="101"/>
      <c r="E64" s="106"/>
      <c r="F64" s="101"/>
    </row>
    <row r="65" spans="1:6" s="96" customFormat="1" thickBot="1">
      <c r="A65" s="112">
        <f>A38+30</f>
        <v>45108</v>
      </c>
      <c r="B65" s="113"/>
      <c r="C65" s="113"/>
      <c r="D65" s="113"/>
      <c r="E65" s="113"/>
      <c r="F65" s="114"/>
    </row>
    <row r="66" spans="1:6" s="96" customFormat="1" ht="15">
      <c r="A66" s="97" t="s">
        <v>27</v>
      </c>
      <c r="B66" s="98" t="s">
        <v>28</v>
      </c>
      <c r="C66" s="98" t="s">
        <v>29</v>
      </c>
      <c r="D66" s="98" t="s">
        <v>30</v>
      </c>
      <c r="E66" s="98" t="s">
        <v>31</v>
      </c>
      <c r="F66" s="98" t="s">
        <v>32</v>
      </c>
    </row>
    <row r="67" spans="1:6" s="96" customFormat="1" ht="15">
      <c r="A67" s="99" t="s">
        <v>33</v>
      </c>
      <c r="B67" s="100">
        <v>3</v>
      </c>
      <c r="C67" s="100">
        <v>4</v>
      </c>
      <c r="D67" s="100">
        <v>5</v>
      </c>
      <c r="E67" s="100">
        <v>6</v>
      </c>
      <c r="F67" s="100">
        <v>7</v>
      </c>
    </row>
    <row r="68" spans="1:6" s="96" customFormat="1" ht="15">
      <c r="A68" s="107" t="s">
        <v>34</v>
      </c>
      <c r="B68" s="105"/>
      <c r="C68" s="105"/>
      <c r="D68" s="110" t="s">
        <v>43</v>
      </c>
      <c r="E68" s="105"/>
      <c r="F68" s="105"/>
    </row>
    <row r="69" spans="1:6" s="96" customFormat="1" ht="15">
      <c r="A69" s="106"/>
      <c r="B69" s="106"/>
      <c r="C69" s="106"/>
      <c r="D69" s="106"/>
      <c r="E69" s="106"/>
      <c r="F69" s="106"/>
    </row>
    <row r="70" spans="1:6" s="96" customFormat="1" ht="15">
      <c r="A70" s="107" t="s">
        <v>40</v>
      </c>
      <c r="B70" s="102"/>
      <c r="C70" s="102"/>
      <c r="D70" s="102"/>
      <c r="E70" s="102"/>
      <c r="F70" s="102"/>
    </row>
    <row r="71" spans="1:6" s="96" customFormat="1" ht="15">
      <c r="A71" s="106"/>
      <c r="B71" s="101"/>
      <c r="C71" s="101"/>
      <c r="D71" s="101"/>
      <c r="E71" s="101"/>
      <c r="F71" s="101"/>
    </row>
    <row r="72" spans="1:6" s="96" customFormat="1" ht="15">
      <c r="A72" s="107" t="s">
        <v>41</v>
      </c>
      <c r="B72" s="102"/>
      <c r="C72" s="102"/>
      <c r="D72" s="102"/>
      <c r="E72" s="102"/>
      <c r="F72" s="102"/>
    </row>
    <row r="73" spans="1:6" s="96" customFormat="1" ht="15">
      <c r="A73" s="106"/>
      <c r="B73" s="101"/>
      <c r="C73" s="101"/>
      <c r="D73" s="101"/>
      <c r="E73" s="101"/>
      <c r="F73" s="101"/>
    </row>
    <row r="74" spans="1:6" s="96" customFormat="1" ht="15">
      <c r="A74" s="99" t="s">
        <v>33</v>
      </c>
      <c r="B74" s="100">
        <f t="shared" ref="B74:F74" si="7">B67+7</f>
        <v>10</v>
      </c>
      <c r="C74" s="100">
        <f t="shared" si="7"/>
        <v>11</v>
      </c>
      <c r="D74" s="100">
        <f t="shared" si="7"/>
        <v>12</v>
      </c>
      <c r="E74" s="100">
        <f t="shared" si="7"/>
        <v>13</v>
      </c>
      <c r="F74" s="100">
        <f t="shared" si="7"/>
        <v>14</v>
      </c>
    </row>
    <row r="75" spans="1:6" s="96" customFormat="1" ht="15">
      <c r="A75" s="107" t="s">
        <v>34</v>
      </c>
      <c r="B75" s="105"/>
      <c r="C75" s="105"/>
      <c r="D75" s="110" t="s">
        <v>43</v>
      </c>
      <c r="E75" s="105"/>
      <c r="F75" s="105"/>
    </row>
    <row r="76" spans="1:6" s="96" customFormat="1" ht="15">
      <c r="A76" s="106"/>
      <c r="B76" s="106"/>
      <c r="C76" s="106"/>
      <c r="D76" s="106"/>
      <c r="E76" s="106"/>
      <c r="F76" s="106"/>
    </row>
    <row r="77" spans="1:6" s="96" customFormat="1" ht="15">
      <c r="A77" s="107" t="s">
        <v>40</v>
      </c>
      <c r="B77" s="102"/>
      <c r="C77" s="102"/>
      <c r="D77" s="102"/>
      <c r="E77" s="102"/>
      <c r="F77" s="102"/>
    </row>
    <row r="78" spans="1:6" s="96" customFormat="1" ht="15">
      <c r="A78" s="106"/>
      <c r="B78" s="101"/>
      <c r="C78" s="101"/>
      <c r="D78" s="101"/>
      <c r="E78" s="101"/>
      <c r="F78" s="101"/>
    </row>
    <row r="79" spans="1:6" s="96" customFormat="1" ht="15">
      <c r="A79" s="107" t="s">
        <v>41</v>
      </c>
      <c r="B79" s="102"/>
      <c r="C79" s="102"/>
      <c r="D79" s="102"/>
      <c r="E79" s="102"/>
      <c r="F79" s="102"/>
    </row>
    <row r="80" spans="1:6" s="96" customFormat="1" ht="15">
      <c r="A80" s="106"/>
      <c r="B80" s="101"/>
      <c r="C80" s="101"/>
      <c r="D80" s="101"/>
      <c r="E80" s="101"/>
      <c r="F80" s="101"/>
    </row>
    <row r="81" spans="1:6" s="96" customFormat="1" ht="15">
      <c r="A81" s="99" t="s">
        <v>33</v>
      </c>
      <c r="B81" s="100">
        <f t="shared" ref="B81:F81" si="8">B74+7</f>
        <v>17</v>
      </c>
      <c r="C81" s="100">
        <f t="shared" si="8"/>
        <v>18</v>
      </c>
      <c r="D81" s="100">
        <f t="shared" si="8"/>
        <v>19</v>
      </c>
      <c r="E81" s="100">
        <f t="shared" si="8"/>
        <v>20</v>
      </c>
      <c r="F81" s="100">
        <f t="shared" si="8"/>
        <v>21</v>
      </c>
    </row>
    <row r="82" spans="1:6" s="96" customFormat="1" ht="15">
      <c r="A82" s="107" t="s">
        <v>34</v>
      </c>
      <c r="B82" s="105"/>
      <c r="C82" s="103"/>
      <c r="D82" s="110" t="s">
        <v>43</v>
      </c>
      <c r="E82" s="105"/>
      <c r="F82" s="105"/>
    </row>
    <row r="83" spans="1:6" s="96" customFormat="1" ht="15">
      <c r="A83" s="106"/>
      <c r="B83" s="106"/>
      <c r="C83" s="104"/>
      <c r="D83" s="106"/>
      <c r="E83" s="106"/>
      <c r="F83" s="106"/>
    </row>
    <row r="84" spans="1:6" s="96" customFormat="1" ht="15">
      <c r="A84" s="107" t="s">
        <v>40</v>
      </c>
      <c r="B84" s="102"/>
      <c r="C84" s="102"/>
      <c r="D84" s="102"/>
      <c r="E84" s="102"/>
      <c r="F84" s="102"/>
    </row>
    <row r="85" spans="1:6" s="96" customFormat="1" ht="15">
      <c r="A85" s="106"/>
      <c r="B85" s="101"/>
      <c r="C85" s="101"/>
      <c r="D85" s="101"/>
      <c r="E85" s="101"/>
      <c r="F85" s="101"/>
    </row>
    <row r="86" spans="1:6" s="96" customFormat="1" ht="15">
      <c r="A86" s="107" t="s">
        <v>41</v>
      </c>
      <c r="B86" s="102"/>
      <c r="C86" s="102"/>
      <c r="D86" s="102"/>
      <c r="E86" s="102"/>
      <c r="F86" s="102"/>
    </row>
    <row r="87" spans="1:6" s="96" customFormat="1" ht="15">
      <c r="A87" s="106"/>
      <c r="B87" s="101"/>
      <c r="C87" s="101"/>
      <c r="D87" s="101"/>
      <c r="E87" s="101"/>
      <c r="F87" s="101"/>
    </row>
    <row r="88" spans="1:6" s="96" customFormat="1" ht="15">
      <c r="A88" s="99" t="s">
        <v>33</v>
      </c>
      <c r="B88" s="100">
        <f t="shared" ref="B88:F88" si="9">B81+7</f>
        <v>24</v>
      </c>
      <c r="C88" s="100">
        <f t="shared" si="9"/>
        <v>25</v>
      </c>
      <c r="D88" s="100">
        <f t="shared" si="9"/>
        <v>26</v>
      </c>
      <c r="E88" s="100">
        <f t="shared" si="9"/>
        <v>27</v>
      </c>
      <c r="F88" s="100">
        <f t="shared" si="9"/>
        <v>28</v>
      </c>
    </row>
    <row r="89" spans="1:6" s="96" customFormat="1" ht="15">
      <c r="A89" s="107" t="s">
        <v>34</v>
      </c>
      <c r="B89" s="105"/>
      <c r="C89" s="105"/>
      <c r="D89" s="110" t="s">
        <v>43</v>
      </c>
      <c r="E89" s="105"/>
      <c r="F89" s="105"/>
    </row>
    <row r="90" spans="1:6" s="96" customFormat="1" ht="15">
      <c r="A90" s="106"/>
      <c r="B90" s="106"/>
      <c r="C90" s="106"/>
      <c r="D90" s="106"/>
      <c r="E90" s="106"/>
      <c r="F90" s="106"/>
    </row>
    <row r="91" spans="1:6" s="96" customFormat="1" ht="15">
      <c r="A91" s="107" t="s">
        <v>40</v>
      </c>
      <c r="B91" s="102"/>
      <c r="C91" s="102"/>
      <c r="D91" s="102"/>
      <c r="E91" s="102"/>
      <c r="F91" s="102"/>
    </row>
    <row r="92" spans="1:6" s="96" customFormat="1" ht="15">
      <c r="A92" s="106"/>
      <c r="B92" s="101"/>
      <c r="C92" s="101"/>
      <c r="D92" s="101"/>
      <c r="E92" s="101"/>
      <c r="F92" s="101"/>
    </row>
    <row r="93" spans="1:6" s="96" customFormat="1" ht="15">
      <c r="A93" s="107" t="s">
        <v>41</v>
      </c>
      <c r="B93" s="102"/>
      <c r="C93" s="102"/>
      <c r="D93" s="102"/>
      <c r="E93" s="102"/>
      <c r="F93" s="102"/>
    </row>
    <row r="94" spans="1:6" s="96" customFormat="1" ht="15">
      <c r="A94" s="106"/>
      <c r="B94" s="101"/>
      <c r="C94" s="101"/>
      <c r="D94" s="101"/>
      <c r="E94" s="101"/>
      <c r="F94" s="101"/>
    </row>
    <row r="95" spans="1:6" s="96" customFormat="1" ht="15">
      <c r="A95" s="99" t="s">
        <v>33</v>
      </c>
      <c r="B95" s="100">
        <f>B88+7</f>
        <v>31</v>
      </c>
      <c r="C95" s="111"/>
      <c r="D95" s="111"/>
      <c r="E95" s="111"/>
      <c r="F95" s="111"/>
    </row>
    <row r="96" spans="1:6" s="96" customFormat="1" ht="15">
      <c r="A96" s="107" t="s">
        <v>34</v>
      </c>
      <c r="B96" s="105"/>
      <c r="C96" s="109"/>
      <c r="D96" s="109"/>
      <c r="E96" s="109"/>
      <c r="F96" s="109"/>
    </row>
    <row r="97" spans="1:6" s="96" customFormat="1" ht="15">
      <c r="A97" s="106"/>
      <c r="B97" s="106"/>
      <c r="C97" s="109"/>
      <c r="D97" s="109"/>
      <c r="E97" s="109"/>
      <c r="F97" s="109"/>
    </row>
    <row r="98" spans="1:6" s="96" customFormat="1" ht="15">
      <c r="A98" s="107" t="s">
        <v>40</v>
      </c>
      <c r="B98" s="102"/>
      <c r="C98" s="109"/>
      <c r="D98" s="109"/>
      <c r="E98" s="109"/>
      <c r="F98" s="109"/>
    </row>
    <row r="99" spans="1:6" s="96" customFormat="1" ht="15">
      <c r="A99" s="106"/>
      <c r="B99" s="101"/>
      <c r="C99" s="109"/>
      <c r="D99" s="109"/>
      <c r="E99" s="109"/>
      <c r="F99" s="109"/>
    </row>
    <row r="100" spans="1:6" s="96" customFormat="1" ht="15">
      <c r="A100" s="107" t="s">
        <v>41</v>
      </c>
      <c r="B100" s="102"/>
      <c r="C100" s="109"/>
      <c r="D100" s="109"/>
      <c r="E100" s="109"/>
      <c r="F100" s="109"/>
    </row>
    <row r="101" spans="1:6" s="96" customFormat="1" thickBot="1">
      <c r="A101" s="106"/>
      <c r="B101" s="101"/>
      <c r="C101" s="106"/>
      <c r="D101" s="106"/>
      <c r="E101" s="106"/>
      <c r="F101" s="106"/>
    </row>
    <row r="102" spans="1:6" s="96" customFormat="1" thickBot="1">
      <c r="A102" s="112">
        <f>A65+31</f>
        <v>45139</v>
      </c>
      <c r="B102" s="113"/>
      <c r="C102" s="113"/>
      <c r="D102" s="113"/>
      <c r="E102" s="113"/>
      <c r="F102" s="114"/>
    </row>
    <row r="103" spans="1:6" s="96" customFormat="1" ht="15">
      <c r="A103" s="97" t="s">
        <v>27</v>
      </c>
      <c r="B103" s="98" t="s">
        <v>28</v>
      </c>
      <c r="C103" s="98" t="s">
        <v>29</v>
      </c>
      <c r="D103" s="98" t="s">
        <v>30</v>
      </c>
      <c r="E103" s="98" t="s">
        <v>31</v>
      </c>
      <c r="F103" s="98" t="s">
        <v>32</v>
      </c>
    </row>
    <row r="104" spans="1:6" s="96" customFormat="1" ht="15">
      <c r="A104" s="99" t="s">
        <v>33</v>
      </c>
      <c r="B104" s="111"/>
      <c r="C104" s="100">
        <v>1</v>
      </c>
      <c r="D104" s="100">
        <v>2</v>
      </c>
      <c r="E104" s="100">
        <v>3</v>
      </c>
      <c r="F104" s="100">
        <v>4</v>
      </c>
    </row>
    <row r="105" spans="1:6" s="96" customFormat="1" ht="15">
      <c r="A105" s="107" t="s">
        <v>34</v>
      </c>
      <c r="B105" s="109"/>
      <c r="C105" s="105"/>
      <c r="D105" s="110" t="s">
        <v>43</v>
      </c>
      <c r="E105" s="105"/>
      <c r="F105" s="105"/>
    </row>
    <row r="106" spans="1:6" s="96" customFormat="1" ht="15">
      <c r="A106" s="106"/>
      <c r="B106" s="109"/>
      <c r="C106" s="106"/>
      <c r="D106" s="106"/>
      <c r="E106" s="106"/>
      <c r="F106" s="106"/>
    </row>
    <row r="107" spans="1:6" s="96" customFormat="1" ht="15">
      <c r="A107" s="107" t="s">
        <v>40</v>
      </c>
      <c r="B107" s="109"/>
      <c r="C107" s="102"/>
      <c r="D107" s="102"/>
      <c r="E107" s="102"/>
      <c r="F107" s="102"/>
    </row>
    <row r="108" spans="1:6" s="96" customFormat="1" ht="15">
      <c r="A108" s="106"/>
      <c r="B108" s="109"/>
      <c r="C108" s="101"/>
      <c r="D108" s="101"/>
      <c r="E108" s="101"/>
      <c r="F108" s="101"/>
    </row>
    <row r="109" spans="1:6" s="96" customFormat="1" ht="15">
      <c r="A109" s="107" t="s">
        <v>41</v>
      </c>
      <c r="B109" s="109"/>
      <c r="C109" s="102"/>
      <c r="D109" s="102"/>
      <c r="E109" s="102"/>
      <c r="F109" s="102"/>
    </row>
    <row r="110" spans="1:6" s="96" customFormat="1" ht="15">
      <c r="A110" s="106"/>
      <c r="B110" s="106"/>
      <c r="C110" s="101"/>
      <c r="D110" s="101"/>
      <c r="E110" s="101"/>
      <c r="F110" s="101"/>
    </row>
    <row r="111" spans="1:6" s="96" customFormat="1" ht="15">
      <c r="A111" s="99" t="s">
        <v>33</v>
      </c>
      <c r="B111" s="100">
        <v>7</v>
      </c>
      <c r="C111" s="100">
        <f t="shared" ref="C111:F111" si="10">C104+7</f>
        <v>8</v>
      </c>
      <c r="D111" s="100">
        <f t="shared" si="10"/>
        <v>9</v>
      </c>
      <c r="E111" s="100">
        <f t="shared" si="10"/>
        <v>10</v>
      </c>
      <c r="F111" s="100">
        <f t="shared" si="10"/>
        <v>11</v>
      </c>
    </row>
    <row r="112" spans="1:6" s="96" customFormat="1" ht="15">
      <c r="A112" s="107" t="s">
        <v>34</v>
      </c>
      <c r="B112" s="105"/>
      <c r="C112" s="110" t="s">
        <v>43</v>
      </c>
      <c r="D112" s="108" t="s">
        <v>52</v>
      </c>
      <c r="E112" s="105"/>
      <c r="F112" s="105"/>
    </row>
    <row r="113" spans="1:6" s="96" customFormat="1" ht="15">
      <c r="A113" s="106"/>
      <c r="B113" s="106"/>
      <c r="C113" s="106"/>
      <c r="D113" s="109"/>
      <c r="E113" s="106"/>
      <c r="F113" s="106"/>
    </row>
    <row r="114" spans="1:6" s="96" customFormat="1" ht="15">
      <c r="A114" s="107" t="s">
        <v>40</v>
      </c>
      <c r="B114" s="102"/>
      <c r="C114" s="102"/>
      <c r="D114" s="109"/>
      <c r="E114" s="102"/>
      <c r="F114" s="102"/>
    </row>
    <row r="115" spans="1:6" s="96" customFormat="1" ht="15">
      <c r="A115" s="106"/>
      <c r="B115" s="101"/>
      <c r="C115" s="101"/>
      <c r="D115" s="109"/>
      <c r="E115" s="101"/>
      <c r="F115" s="101"/>
    </row>
    <row r="116" spans="1:6" s="96" customFormat="1" ht="15">
      <c r="A116" s="107" t="s">
        <v>41</v>
      </c>
      <c r="B116" s="102"/>
      <c r="C116" s="102"/>
      <c r="D116" s="109"/>
      <c r="E116" s="102"/>
      <c r="F116" s="102"/>
    </row>
    <row r="117" spans="1:6" s="96" customFormat="1" ht="15">
      <c r="A117" s="106"/>
      <c r="B117" s="101"/>
      <c r="C117" s="101"/>
      <c r="D117" s="106"/>
      <c r="E117" s="101"/>
      <c r="F117" s="101"/>
    </row>
    <row r="118" spans="1:6" s="96" customFormat="1" ht="15">
      <c r="A118" s="99" t="s">
        <v>33</v>
      </c>
      <c r="B118" s="100">
        <f t="shared" ref="B118:F118" si="11">B111+7</f>
        <v>14</v>
      </c>
      <c r="C118" s="100">
        <f t="shared" si="11"/>
        <v>15</v>
      </c>
      <c r="D118" s="100">
        <f t="shared" si="11"/>
        <v>16</v>
      </c>
      <c r="E118" s="100">
        <f t="shared" si="11"/>
        <v>17</v>
      </c>
      <c r="F118" s="100">
        <f t="shared" si="11"/>
        <v>18</v>
      </c>
    </row>
    <row r="119" spans="1:6" s="96" customFormat="1" ht="15">
      <c r="A119" s="107" t="s">
        <v>34</v>
      </c>
      <c r="B119" s="105"/>
      <c r="C119" s="103"/>
      <c r="D119" s="110" t="s">
        <v>43</v>
      </c>
      <c r="E119" s="105"/>
      <c r="F119" s="105"/>
    </row>
    <row r="120" spans="1:6" s="96" customFormat="1" ht="15">
      <c r="A120" s="106"/>
      <c r="B120" s="106"/>
      <c r="C120" s="104"/>
      <c r="D120" s="106"/>
      <c r="E120" s="106"/>
      <c r="F120" s="106"/>
    </row>
    <row r="121" spans="1:6" s="96" customFormat="1" ht="15">
      <c r="A121" s="107" t="s">
        <v>40</v>
      </c>
      <c r="B121" s="102"/>
      <c r="C121" s="102"/>
      <c r="D121" s="102"/>
      <c r="E121" s="102"/>
      <c r="F121" s="102"/>
    </row>
    <row r="122" spans="1:6" s="96" customFormat="1" ht="15">
      <c r="A122" s="106"/>
      <c r="B122" s="101"/>
      <c r="C122" s="101"/>
      <c r="D122" s="101"/>
      <c r="E122" s="101"/>
      <c r="F122" s="101"/>
    </row>
    <row r="123" spans="1:6" s="96" customFormat="1" ht="15">
      <c r="A123" s="107" t="s">
        <v>41</v>
      </c>
      <c r="B123" s="102"/>
      <c r="C123" s="102"/>
      <c r="D123" s="102"/>
      <c r="E123" s="102"/>
      <c r="F123" s="102"/>
    </row>
    <row r="124" spans="1:6" s="96" customFormat="1" ht="15">
      <c r="A124" s="106"/>
      <c r="B124" s="101"/>
      <c r="C124" s="101"/>
      <c r="D124" s="101"/>
      <c r="E124" s="101"/>
      <c r="F124" s="101"/>
    </row>
    <row r="125" spans="1:6" s="96" customFormat="1" ht="15">
      <c r="A125" s="99" t="s">
        <v>33</v>
      </c>
      <c r="B125" s="100">
        <f t="shared" ref="B125:F125" si="12">B118+7</f>
        <v>21</v>
      </c>
      <c r="C125" s="100">
        <f t="shared" si="12"/>
        <v>22</v>
      </c>
      <c r="D125" s="100">
        <f t="shared" si="12"/>
        <v>23</v>
      </c>
      <c r="E125" s="100">
        <f t="shared" si="12"/>
        <v>24</v>
      </c>
      <c r="F125" s="100">
        <f t="shared" si="12"/>
        <v>25</v>
      </c>
    </row>
    <row r="126" spans="1:6" s="96" customFormat="1" ht="15">
      <c r="A126" s="107" t="s">
        <v>34</v>
      </c>
      <c r="B126" s="105"/>
      <c r="C126" s="105"/>
      <c r="D126" s="110" t="s">
        <v>43</v>
      </c>
      <c r="E126" s="105"/>
      <c r="F126" s="105"/>
    </row>
    <row r="127" spans="1:6" s="96" customFormat="1" ht="15">
      <c r="A127" s="106"/>
      <c r="B127" s="106"/>
      <c r="C127" s="106"/>
      <c r="D127" s="106"/>
      <c r="E127" s="106"/>
      <c r="F127" s="106"/>
    </row>
    <row r="128" spans="1:6" s="96" customFormat="1" ht="15">
      <c r="A128" s="107" t="s">
        <v>40</v>
      </c>
      <c r="B128" s="102"/>
      <c r="C128" s="102"/>
      <c r="D128" s="102"/>
      <c r="E128" s="102"/>
      <c r="F128" s="102"/>
    </row>
    <row r="129" spans="1:6" s="96" customFormat="1" ht="15">
      <c r="A129" s="106"/>
      <c r="B129" s="101"/>
      <c r="C129" s="101"/>
      <c r="D129" s="101"/>
      <c r="E129" s="101"/>
      <c r="F129" s="101"/>
    </row>
    <row r="130" spans="1:6" s="96" customFormat="1" ht="15">
      <c r="A130" s="107" t="s">
        <v>41</v>
      </c>
      <c r="B130" s="102"/>
      <c r="C130" s="102"/>
      <c r="D130" s="102"/>
      <c r="E130" s="102"/>
      <c r="F130" s="102"/>
    </row>
    <row r="131" spans="1:6" s="96" customFormat="1" ht="15">
      <c r="A131" s="106"/>
      <c r="B131" s="101"/>
      <c r="C131" s="101"/>
      <c r="D131" s="101"/>
      <c r="E131" s="101"/>
      <c r="F131" s="101"/>
    </row>
    <row r="132" spans="1:6" s="96" customFormat="1" ht="15">
      <c r="A132" s="99" t="s">
        <v>33</v>
      </c>
      <c r="B132" s="100">
        <f t="shared" ref="B132:E132" si="13">B125+7</f>
        <v>28</v>
      </c>
      <c r="C132" s="100">
        <f t="shared" si="13"/>
        <v>29</v>
      </c>
      <c r="D132" s="100">
        <f t="shared" si="13"/>
        <v>30</v>
      </c>
      <c r="E132" s="100">
        <f t="shared" si="13"/>
        <v>31</v>
      </c>
      <c r="F132" s="111"/>
    </row>
    <row r="133" spans="1:6" s="96" customFormat="1" ht="15">
      <c r="A133" s="107" t="s">
        <v>34</v>
      </c>
      <c r="B133" s="105"/>
      <c r="C133" s="105"/>
      <c r="D133" s="110" t="s">
        <v>43</v>
      </c>
      <c r="E133" s="105"/>
      <c r="F133" s="109"/>
    </row>
    <row r="134" spans="1:6" s="96" customFormat="1" ht="15">
      <c r="A134" s="106"/>
      <c r="B134" s="106"/>
      <c r="C134" s="106"/>
      <c r="D134" s="106"/>
      <c r="E134" s="106"/>
      <c r="F134" s="109"/>
    </row>
    <row r="135" spans="1:6" s="96" customFormat="1" ht="15">
      <c r="A135" s="107" t="s">
        <v>40</v>
      </c>
      <c r="B135" s="102"/>
      <c r="C135" s="102"/>
      <c r="D135" s="102"/>
      <c r="E135" s="102"/>
      <c r="F135" s="109"/>
    </row>
    <row r="136" spans="1:6" s="96" customFormat="1" ht="15">
      <c r="A136" s="106"/>
      <c r="B136" s="101"/>
      <c r="C136" s="101"/>
      <c r="D136" s="101"/>
      <c r="E136" s="101"/>
      <c r="F136" s="109"/>
    </row>
    <row r="137" spans="1:6" s="96" customFormat="1" ht="15">
      <c r="A137" s="107" t="s">
        <v>41</v>
      </c>
      <c r="B137" s="102"/>
      <c r="C137" s="102"/>
      <c r="D137" s="102"/>
      <c r="E137" s="102"/>
      <c r="F137" s="109"/>
    </row>
    <row r="138" spans="1:6" s="96" customFormat="1" thickBot="1">
      <c r="A138" s="106"/>
      <c r="B138" s="101"/>
      <c r="C138" s="101"/>
      <c r="D138" s="101"/>
      <c r="E138" s="101"/>
      <c r="F138" s="106"/>
    </row>
    <row r="139" spans="1:6" s="96" customFormat="1" thickBot="1">
      <c r="A139" s="112">
        <f>A102+31</f>
        <v>45170</v>
      </c>
      <c r="B139" s="113"/>
      <c r="C139" s="113"/>
      <c r="D139" s="113"/>
      <c r="E139" s="113"/>
      <c r="F139" s="114"/>
    </row>
    <row r="140" spans="1:6" s="96" customFormat="1" ht="15">
      <c r="A140" s="97" t="s">
        <v>27</v>
      </c>
      <c r="B140" s="98" t="s">
        <v>28</v>
      </c>
      <c r="C140" s="98" t="s">
        <v>29</v>
      </c>
      <c r="D140" s="98" t="s">
        <v>30</v>
      </c>
      <c r="E140" s="98" t="s">
        <v>31</v>
      </c>
      <c r="F140" s="98" t="s">
        <v>32</v>
      </c>
    </row>
    <row r="141" spans="1:6" s="96" customFormat="1" ht="15">
      <c r="A141" s="99" t="s">
        <v>33</v>
      </c>
      <c r="B141" s="111"/>
      <c r="C141" s="111"/>
      <c r="D141" s="111"/>
      <c r="E141" s="111"/>
      <c r="F141" s="100">
        <v>1</v>
      </c>
    </row>
    <row r="142" spans="1:6" s="96" customFormat="1" ht="15">
      <c r="A142" s="107" t="s">
        <v>34</v>
      </c>
      <c r="B142" s="109"/>
      <c r="C142" s="109"/>
      <c r="D142" s="109"/>
      <c r="E142" s="109"/>
      <c r="F142" s="105"/>
    </row>
    <row r="143" spans="1:6" s="96" customFormat="1" ht="15">
      <c r="A143" s="106"/>
      <c r="B143" s="109"/>
      <c r="C143" s="109"/>
      <c r="D143" s="109"/>
      <c r="E143" s="109"/>
      <c r="F143" s="106"/>
    </row>
    <row r="144" spans="1:6" s="96" customFormat="1" ht="15">
      <c r="A144" s="107" t="s">
        <v>40</v>
      </c>
      <c r="B144" s="109"/>
      <c r="C144" s="109"/>
      <c r="D144" s="109"/>
      <c r="E144" s="109"/>
      <c r="F144" s="102"/>
    </row>
    <row r="145" spans="1:6" s="96" customFormat="1" ht="15">
      <c r="A145" s="106"/>
      <c r="B145" s="109"/>
      <c r="C145" s="109"/>
      <c r="D145" s="109"/>
      <c r="E145" s="109"/>
      <c r="F145" s="101"/>
    </row>
    <row r="146" spans="1:6" s="96" customFormat="1" ht="15">
      <c r="A146" s="107" t="s">
        <v>41</v>
      </c>
      <c r="B146" s="109"/>
      <c r="C146" s="109"/>
      <c r="D146" s="109"/>
      <c r="E146" s="109"/>
      <c r="F146" s="102"/>
    </row>
    <row r="147" spans="1:6" s="96" customFormat="1" ht="15">
      <c r="A147" s="106"/>
      <c r="B147" s="106"/>
      <c r="C147" s="106"/>
      <c r="D147" s="106"/>
      <c r="E147" s="106"/>
      <c r="F147" s="101"/>
    </row>
    <row r="148" spans="1:6" s="96" customFormat="1" ht="15">
      <c r="A148" s="99" t="s">
        <v>33</v>
      </c>
      <c r="B148" s="100">
        <v>4</v>
      </c>
      <c r="C148" s="100">
        <v>5</v>
      </c>
      <c r="D148" s="100">
        <v>6</v>
      </c>
      <c r="E148" s="100">
        <v>7</v>
      </c>
      <c r="F148" s="100">
        <f>F141+7</f>
        <v>8</v>
      </c>
    </row>
    <row r="149" spans="1:6" s="96" customFormat="1" ht="15">
      <c r="A149" s="107" t="s">
        <v>34</v>
      </c>
      <c r="B149" s="105"/>
      <c r="C149" s="105"/>
      <c r="D149" s="110" t="s">
        <v>43</v>
      </c>
      <c r="E149" s="105"/>
      <c r="F149" s="105"/>
    </row>
    <row r="150" spans="1:6" s="96" customFormat="1" ht="15">
      <c r="A150" s="106"/>
      <c r="B150" s="106"/>
      <c r="C150" s="106"/>
      <c r="D150" s="106"/>
      <c r="E150" s="106"/>
      <c r="F150" s="106"/>
    </row>
    <row r="151" spans="1:6" s="96" customFormat="1" ht="15">
      <c r="A151" s="107" t="s">
        <v>40</v>
      </c>
      <c r="B151" s="102"/>
      <c r="C151" s="102"/>
      <c r="D151" s="102"/>
      <c r="E151" s="102"/>
      <c r="F151" s="102"/>
    </row>
    <row r="152" spans="1:6" s="96" customFormat="1" ht="15">
      <c r="A152" s="106"/>
      <c r="B152" s="101"/>
      <c r="C152" s="101"/>
      <c r="D152" s="101"/>
      <c r="E152" s="101"/>
      <c r="F152" s="101"/>
    </row>
    <row r="153" spans="1:6" s="96" customFormat="1" ht="15">
      <c r="A153" s="107" t="s">
        <v>41</v>
      </c>
      <c r="B153" s="102"/>
      <c r="C153" s="102"/>
      <c r="D153" s="102"/>
      <c r="E153" s="102"/>
      <c r="F153" s="102"/>
    </row>
    <row r="154" spans="1:6" s="96" customFormat="1" ht="15">
      <c r="A154" s="106"/>
      <c r="B154" s="101"/>
      <c r="C154" s="101"/>
      <c r="D154" s="101"/>
      <c r="E154" s="101"/>
      <c r="F154" s="101"/>
    </row>
    <row r="155" spans="1:6" s="96" customFormat="1" ht="15">
      <c r="A155" s="99" t="s">
        <v>33</v>
      </c>
      <c r="B155" s="100">
        <f t="shared" ref="B155:F155" si="14">B148+7</f>
        <v>11</v>
      </c>
      <c r="C155" s="100">
        <f t="shared" si="14"/>
        <v>12</v>
      </c>
      <c r="D155" s="100">
        <f t="shared" si="14"/>
        <v>13</v>
      </c>
      <c r="E155" s="100">
        <f t="shared" si="14"/>
        <v>14</v>
      </c>
      <c r="F155" s="100">
        <f t="shared" si="14"/>
        <v>15</v>
      </c>
    </row>
    <row r="156" spans="1:6" s="96" customFormat="1" ht="15">
      <c r="A156" s="107" t="s">
        <v>34</v>
      </c>
      <c r="B156" s="105"/>
      <c r="C156" s="103"/>
      <c r="D156" s="110" t="s">
        <v>43</v>
      </c>
      <c r="E156" s="105"/>
      <c r="F156" s="105"/>
    </row>
    <row r="157" spans="1:6" s="96" customFormat="1" ht="15">
      <c r="A157" s="106"/>
      <c r="B157" s="106"/>
      <c r="C157" s="104"/>
      <c r="D157" s="106"/>
      <c r="E157" s="106"/>
      <c r="F157" s="106"/>
    </row>
    <row r="158" spans="1:6" s="96" customFormat="1" ht="15">
      <c r="A158" s="107" t="s">
        <v>40</v>
      </c>
      <c r="B158" s="102"/>
      <c r="C158" s="102"/>
      <c r="D158" s="102"/>
      <c r="E158" s="102"/>
      <c r="F158" s="102"/>
    </row>
    <row r="159" spans="1:6" s="96" customFormat="1" ht="15">
      <c r="A159" s="106"/>
      <c r="B159" s="101"/>
      <c r="C159" s="101"/>
      <c r="D159" s="101"/>
      <c r="E159" s="101"/>
      <c r="F159" s="101"/>
    </row>
    <row r="160" spans="1:6" s="96" customFormat="1" ht="15">
      <c r="A160" s="107" t="s">
        <v>41</v>
      </c>
      <c r="B160" s="102"/>
      <c r="C160" s="102"/>
      <c r="D160" s="102"/>
      <c r="E160" s="102"/>
      <c r="F160" s="102"/>
    </row>
    <row r="161" spans="1:6" s="96" customFormat="1" ht="15">
      <c r="A161" s="106"/>
      <c r="B161" s="101"/>
      <c r="C161" s="101"/>
      <c r="D161" s="101"/>
      <c r="E161" s="101"/>
      <c r="F161" s="101"/>
    </row>
    <row r="162" spans="1:6" s="96" customFormat="1" ht="15">
      <c r="A162" s="99" t="s">
        <v>33</v>
      </c>
      <c r="B162" s="100">
        <f t="shared" ref="B162:F162" si="15">B155+7</f>
        <v>18</v>
      </c>
      <c r="C162" s="100">
        <f t="shared" si="15"/>
        <v>19</v>
      </c>
      <c r="D162" s="100">
        <f t="shared" si="15"/>
        <v>20</v>
      </c>
      <c r="E162" s="100">
        <f t="shared" si="15"/>
        <v>21</v>
      </c>
      <c r="F162" s="100">
        <f t="shared" si="15"/>
        <v>22</v>
      </c>
    </row>
    <row r="163" spans="1:6" s="96" customFormat="1" ht="15">
      <c r="A163" s="107" t="s">
        <v>34</v>
      </c>
      <c r="B163" s="105"/>
      <c r="C163" s="105"/>
      <c r="D163" s="110" t="s">
        <v>43</v>
      </c>
      <c r="E163" s="105"/>
      <c r="F163" s="105"/>
    </row>
    <row r="164" spans="1:6" s="96" customFormat="1" ht="15">
      <c r="A164" s="106"/>
      <c r="B164" s="106"/>
      <c r="C164" s="106"/>
      <c r="D164" s="106"/>
      <c r="E164" s="106"/>
      <c r="F164" s="106"/>
    </row>
    <row r="165" spans="1:6" s="96" customFormat="1" ht="15">
      <c r="A165" s="107" t="s">
        <v>40</v>
      </c>
      <c r="B165" s="102"/>
      <c r="C165" s="102"/>
      <c r="D165" s="102"/>
      <c r="E165" s="102"/>
      <c r="F165" s="102"/>
    </row>
    <row r="166" spans="1:6" s="96" customFormat="1" ht="15">
      <c r="A166" s="106"/>
      <c r="B166" s="101"/>
      <c r="C166" s="101"/>
      <c r="D166" s="101"/>
      <c r="E166" s="101"/>
      <c r="F166" s="101"/>
    </row>
    <row r="167" spans="1:6" s="96" customFormat="1" ht="15">
      <c r="A167" s="107" t="s">
        <v>41</v>
      </c>
      <c r="B167" s="102"/>
      <c r="C167" s="102"/>
      <c r="D167" s="102"/>
      <c r="E167" s="102"/>
      <c r="F167" s="102"/>
    </row>
    <row r="168" spans="1:6" s="96" customFormat="1" ht="15">
      <c r="A168" s="106"/>
      <c r="B168" s="101"/>
      <c r="C168" s="101"/>
      <c r="D168" s="101"/>
      <c r="E168" s="101"/>
      <c r="F168" s="101"/>
    </row>
    <row r="169" spans="1:6" s="96" customFormat="1" ht="15">
      <c r="A169" s="99" t="s">
        <v>33</v>
      </c>
      <c r="B169" s="100">
        <f t="shared" ref="B169:F169" si="16">B162+7</f>
        <v>25</v>
      </c>
      <c r="C169" s="100">
        <f t="shared" si="16"/>
        <v>26</v>
      </c>
      <c r="D169" s="100">
        <f t="shared" si="16"/>
        <v>27</v>
      </c>
      <c r="E169" s="100">
        <f t="shared" si="16"/>
        <v>28</v>
      </c>
      <c r="F169" s="100">
        <f t="shared" si="16"/>
        <v>29</v>
      </c>
    </row>
    <row r="170" spans="1:6" s="96" customFormat="1" ht="15">
      <c r="A170" s="107" t="s">
        <v>34</v>
      </c>
      <c r="B170" s="105"/>
      <c r="C170" s="105"/>
      <c r="D170" s="110" t="s">
        <v>43</v>
      </c>
      <c r="E170" s="105"/>
      <c r="F170" s="105"/>
    </row>
    <row r="171" spans="1:6" s="96" customFormat="1" ht="15">
      <c r="A171" s="106"/>
      <c r="B171" s="106"/>
      <c r="C171" s="106"/>
      <c r="D171" s="106"/>
      <c r="E171" s="106"/>
      <c r="F171" s="106"/>
    </row>
    <row r="172" spans="1:6" s="96" customFormat="1" ht="15">
      <c r="A172" s="107" t="s">
        <v>40</v>
      </c>
      <c r="B172" s="102"/>
      <c r="C172" s="102"/>
      <c r="D172" s="102"/>
      <c r="E172" s="102"/>
      <c r="F172" s="102"/>
    </row>
    <row r="173" spans="1:6" s="96" customFormat="1" ht="15">
      <c r="A173" s="106"/>
      <c r="B173" s="101"/>
      <c r="C173" s="101"/>
      <c r="D173" s="101"/>
      <c r="E173" s="101"/>
      <c r="F173" s="101"/>
    </row>
    <row r="174" spans="1:6" s="96" customFormat="1" ht="15">
      <c r="A174" s="107" t="s">
        <v>41</v>
      </c>
      <c r="B174" s="102"/>
      <c r="C174" s="102"/>
      <c r="D174" s="102"/>
      <c r="E174" s="102"/>
      <c r="F174" s="102"/>
    </row>
    <row r="175" spans="1:6" s="96" customFormat="1" thickBot="1">
      <c r="A175" s="106"/>
      <c r="B175" s="101"/>
      <c r="C175" s="101"/>
      <c r="D175" s="101"/>
      <c r="E175" s="101"/>
      <c r="F175" s="101"/>
    </row>
    <row r="176" spans="1:6" s="96" customFormat="1" thickBot="1">
      <c r="A176" s="112">
        <f>A139+30</f>
        <v>45200</v>
      </c>
      <c r="B176" s="113"/>
      <c r="C176" s="113"/>
      <c r="D176" s="113"/>
      <c r="E176" s="113"/>
      <c r="F176" s="114"/>
    </row>
    <row r="177" spans="1:6" s="96" customFormat="1" ht="15">
      <c r="A177" s="97" t="s">
        <v>27</v>
      </c>
      <c r="B177" s="98" t="s">
        <v>28</v>
      </c>
      <c r="C177" s="98" t="s">
        <v>29</v>
      </c>
      <c r="D177" s="98" t="s">
        <v>30</v>
      </c>
      <c r="E177" s="98" t="s">
        <v>31</v>
      </c>
      <c r="F177" s="98" t="s">
        <v>32</v>
      </c>
    </row>
    <row r="178" spans="1:6" s="96" customFormat="1" ht="15">
      <c r="A178" s="99" t="s">
        <v>33</v>
      </c>
      <c r="B178" s="100">
        <v>2</v>
      </c>
      <c r="C178" s="100">
        <v>3</v>
      </c>
      <c r="D178" s="100">
        <v>4</v>
      </c>
      <c r="E178" s="100">
        <v>5</v>
      </c>
      <c r="F178" s="100">
        <v>6</v>
      </c>
    </row>
    <row r="179" spans="1:6" s="96" customFormat="1" ht="15">
      <c r="A179" s="107" t="s">
        <v>34</v>
      </c>
      <c r="B179" s="105"/>
      <c r="C179" s="105"/>
      <c r="D179" s="110" t="s">
        <v>43</v>
      </c>
      <c r="E179" s="105"/>
      <c r="F179" s="105"/>
    </row>
    <row r="180" spans="1:6" s="96" customFormat="1" ht="15">
      <c r="A180" s="106"/>
      <c r="B180" s="106"/>
      <c r="C180" s="106"/>
      <c r="D180" s="106"/>
      <c r="E180" s="106"/>
      <c r="F180" s="106"/>
    </row>
    <row r="181" spans="1:6" s="96" customFormat="1" ht="15">
      <c r="A181" s="107" t="s">
        <v>40</v>
      </c>
      <c r="B181" s="102"/>
      <c r="C181" s="102"/>
      <c r="D181" s="102"/>
      <c r="E181" s="102"/>
      <c r="F181" s="102"/>
    </row>
    <row r="182" spans="1:6" s="96" customFormat="1" ht="15">
      <c r="A182" s="106"/>
      <c r="B182" s="101"/>
      <c r="C182" s="101"/>
      <c r="D182" s="101"/>
      <c r="E182" s="101"/>
      <c r="F182" s="101"/>
    </row>
    <row r="183" spans="1:6" s="96" customFormat="1" ht="15">
      <c r="A183" s="107" t="s">
        <v>41</v>
      </c>
      <c r="B183" s="102"/>
      <c r="C183" s="102"/>
      <c r="D183" s="102"/>
      <c r="E183" s="102"/>
      <c r="F183" s="102"/>
    </row>
    <row r="184" spans="1:6" s="96" customFormat="1" ht="15">
      <c r="A184" s="106"/>
      <c r="B184" s="101"/>
      <c r="C184" s="101"/>
      <c r="D184" s="101"/>
      <c r="E184" s="101"/>
      <c r="F184" s="101"/>
    </row>
    <row r="185" spans="1:6" s="96" customFormat="1" ht="15">
      <c r="A185" s="99" t="s">
        <v>33</v>
      </c>
      <c r="B185" s="100">
        <f t="shared" ref="B185:F185" si="17">B178+7</f>
        <v>9</v>
      </c>
      <c r="C185" s="100">
        <f t="shared" si="17"/>
        <v>10</v>
      </c>
      <c r="D185" s="100">
        <f t="shared" si="17"/>
        <v>11</v>
      </c>
      <c r="E185" s="100">
        <f t="shared" si="17"/>
        <v>12</v>
      </c>
      <c r="F185" s="100">
        <f t="shared" si="17"/>
        <v>13</v>
      </c>
    </row>
    <row r="186" spans="1:6" s="96" customFormat="1" ht="15">
      <c r="A186" s="107" t="s">
        <v>34</v>
      </c>
      <c r="B186" s="105"/>
      <c r="C186" s="105"/>
      <c r="D186" s="110" t="s">
        <v>43</v>
      </c>
      <c r="E186" s="105"/>
      <c r="F186" s="105"/>
    </row>
    <row r="187" spans="1:6" s="96" customFormat="1" ht="15">
      <c r="A187" s="106"/>
      <c r="B187" s="106"/>
      <c r="C187" s="106"/>
      <c r="D187" s="106"/>
      <c r="E187" s="106"/>
      <c r="F187" s="106"/>
    </row>
    <row r="188" spans="1:6" s="96" customFormat="1" ht="15">
      <c r="A188" s="107" t="s">
        <v>40</v>
      </c>
      <c r="B188" s="102"/>
      <c r="C188" s="102"/>
      <c r="D188" s="102"/>
      <c r="E188" s="102"/>
      <c r="F188" s="102"/>
    </row>
    <row r="189" spans="1:6" s="96" customFormat="1" ht="15">
      <c r="A189" s="106"/>
      <c r="B189" s="101"/>
      <c r="C189" s="101"/>
      <c r="D189" s="101"/>
      <c r="E189" s="101"/>
      <c r="F189" s="101"/>
    </row>
    <row r="190" spans="1:6" s="96" customFormat="1" ht="15">
      <c r="A190" s="107" t="s">
        <v>41</v>
      </c>
      <c r="B190" s="102"/>
      <c r="C190" s="102"/>
      <c r="D190" s="102"/>
      <c r="E190" s="102"/>
      <c r="F190" s="102"/>
    </row>
    <row r="191" spans="1:6" s="96" customFormat="1" ht="15">
      <c r="A191" s="106"/>
      <c r="B191" s="101"/>
      <c r="C191" s="101"/>
      <c r="D191" s="101"/>
      <c r="E191" s="101"/>
      <c r="F191" s="101"/>
    </row>
    <row r="192" spans="1:6" s="96" customFormat="1" ht="15">
      <c r="A192" s="99" t="s">
        <v>33</v>
      </c>
      <c r="B192" s="100">
        <f t="shared" ref="B192:F192" si="18">B185+7</f>
        <v>16</v>
      </c>
      <c r="C192" s="100">
        <f t="shared" si="18"/>
        <v>17</v>
      </c>
      <c r="D192" s="100">
        <f t="shared" si="18"/>
        <v>18</v>
      </c>
      <c r="E192" s="100">
        <f t="shared" si="18"/>
        <v>19</v>
      </c>
      <c r="F192" s="100">
        <f t="shared" si="18"/>
        <v>20</v>
      </c>
    </row>
    <row r="193" spans="1:6" s="96" customFormat="1" ht="15">
      <c r="A193" s="107" t="s">
        <v>34</v>
      </c>
      <c r="B193" s="105"/>
      <c r="C193" s="103"/>
      <c r="D193" s="110" t="s">
        <v>43</v>
      </c>
      <c r="E193" s="105"/>
      <c r="F193" s="105"/>
    </row>
    <row r="194" spans="1:6" s="96" customFormat="1" ht="15">
      <c r="A194" s="106"/>
      <c r="B194" s="106"/>
      <c r="C194" s="104"/>
      <c r="D194" s="106"/>
      <c r="E194" s="106"/>
      <c r="F194" s="106"/>
    </row>
    <row r="195" spans="1:6" s="96" customFormat="1" ht="15">
      <c r="A195" s="107" t="s">
        <v>40</v>
      </c>
      <c r="B195" s="102"/>
      <c r="C195" s="102"/>
      <c r="D195" s="102"/>
      <c r="E195" s="102"/>
      <c r="F195" s="102"/>
    </row>
    <row r="196" spans="1:6" s="96" customFormat="1" ht="15">
      <c r="A196" s="106"/>
      <c r="B196" s="101"/>
      <c r="C196" s="101"/>
      <c r="D196" s="101"/>
      <c r="E196" s="101"/>
      <c r="F196" s="101"/>
    </row>
    <row r="197" spans="1:6" s="96" customFormat="1" ht="15">
      <c r="A197" s="107" t="s">
        <v>41</v>
      </c>
      <c r="B197" s="102"/>
      <c r="C197" s="102"/>
      <c r="D197" s="102"/>
      <c r="E197" s="102"/>
      <c r="F197" s="102"/>
    </row>
    <row r="198" spans="1:6" s="96" customFormat="1" ht="15">
      <c r="A198" s="106"/>
      <c r="B198" s="101"/>
      <c r="C198" s="101"/>
      <c r="D198" s="101"/>
      <c r="E198" s="101"/>
      <c r="F198" s="101"/>
    </row>
    <row r="199" spans="1:6" s="96" customFormat="1" ht="15">
      <c r="A199" s="99" t="s">
        <v>33</v>
      </c>
      <c r="B199" s="100">
        <f t="shared" ref="B199:F199" si="19">B192+7</f>
        <v>23</v>
      </c>
      <c r="C199" s="100">
        <f t="shared" si="19"/>
        <v>24</v>
      </c>
      <c r="D199" s="100">
        <f t="shared" si="19"/>
        <v>25</v>
      </c>
      <c r="E199" s="100">
        <f t="shared" si="19"/>
        <v>26</v>
      </c>
      <c r="F199" s="100">
        <f t="shared" si="19"/>
        <v>27</v>
      </c>
    </row>
    <row r="200" spans="1:6" s="96" customFormat="1" ht="15">
      <c r="A200" s="107" t="s">
        <v>34</v>
      </c>
      <c r="B200" s="105"/>
      <c r="C200" s="105"/>
      <c r="D200" s="110" t="s">
        <v>43</v>
      </c>
      <c r="E200" s="105"/>
      <c r="F200" s="105"/>
    </row>
    <row r="201" spans="1:6" s="96" customFormat="1" ht="15">
      <c r="A201" s="106"/>
      <c r="B201" s="106"/>
      <c r="C201" s="106"/>
      <c r="D201" s="106"/>
      <c r="E201" s="106"/>
      <c r="F201" s="106"/>
    </row>
    <row r="202" spans="1:6" s="96" customFormat="1" ht="15">
      <c r="A202" s="107" t="s">
        <v>40</v>
      </c>
      <c r="B202" s="102"/>
      <c r="C202" s="102"/>
      <c r="D202" s="102"/>
      <c r="E202" s="102"/>
      <c r="F202" s="102"/>
    </row>
    <row r="203" spans="1:6" s="96" customFormat="1" ht="15">
      <c r="A203" s="106"/>
      <c r="B203" s="101"/>
      <c r="C203" s="101"/>
      <c r="D203" s="101"/>
      <c r="E203" s="101"/>
      <c r="F203" s="101"/>
    </row>
    <row r="204" spans="1:6" s="96" customFormat="1" ht="15">
      <c r="A204" s="107" t="s">
        <v>41</v>
      </c>
      <c r="B204" s="102"/>
      <c r="C204" s="102"/>
      <c r="D204" s="102"/>
      <c r="E204" s="102"/>
      <c r="F204" s="102"/>
    </row>
    <row r="205" spans="1:6" s="96" customFormat="1" ht="15">
      <c r="A205" s="106"/>
      <c r="B205" s="101"/>
      <c r="C205" s="101"/>
      <c r="D205" s="101"/>
      <c r="E205" s="101"/>
      <c r="F205" s="101"/>
    </row>
    <row r="206" spans="1:6" s="96" customFormat="1" ht="15">
      <c r="A206" s="99" t="s">
        <v>33</v>
      </c>
      <c r="B206" s="100">
        <f t="shared" ref="B206:C206" si="20">B199+7</f>
        <v>30</v>
      </c>
      <c r="C206" s="100">
        <f t="shared" si="20"/>
        <v>31</v>
      </c>
      <c r="D206" s="111"/>
      <c r="E206" s="111"/>
      <c r="F206" s="111"/>
    </row>
    <row r="207" spans="1:6" s="96" customFormat="1" ht="15">
      <c r="A207" s="107" t="s">
        <v>34</v>
      </c>
      <c r="B207" s="105"/>
      <c r="C207" s="105"/>
      <c r="D207" s="109"/>
      <c r="E207" s="109"/>
      <c r="F207" s="109"/>
    </row>
    <row r="208" spans="1:6" s="96" customFormat="1" ht="15">
      <c r="A208" s="106"/>
      <c r="B208" s="106"/>
      <c r="C208" s="106"/>
      <c r="D208" s="109"/>
      <c r="E208" s="109"/>
      <c r="F208" s="109"/>
    </row>
    <row r="209" spans="1:6" s="96" customFormat="1" ht="15">
      <c r="A209" s="107" t="s">
        <v>40</v>
      </c>
      <c r="B209" s="102"/>
      <c r="C209" s="102"/>
      <c r="D209" s="109"/>
      <c r="E209" s="109"/>
      <c r="F209" s="109"/>
    </row>
    <row r="210" spans="1:6" s="96" customFormat="1" ht="15">
      <c r="A210" s="106"/>
      <c r="B210" s="101"/>
      <c r="C210" s="101"/>
      <c r="D210" s="109"/>
      <c r="E210" s="109"/>
      <c r="F210" s="109"/>
    </row>
    <row r="211" spans="1:6" s="96" customFormat="1" ht="15">
      <c r="A211" s="107" t="s">
        <v>41</v>
      </c>
      <c r="B211" s="102"/>
      <c r="C211" s="102"/>
      <c r="D211" s="109"/>
      <c r="E211" s="109"/>
      <c r="F211" s="109"/>
    </row>
    <row r="212" spans="1:6" s="96" customFormat="1" thickBot="1">
      <c r="A212" s="106"/>
      <c r="B212" s="101"/>
      <c r="C212" s="101"/>
      <c r="D212" s="106"/>
      <c r="E212" s="106"/>
      <c r="F212" s="106"/>
    </row>
    <row r="213" spans="1:6" s="96" customFormat="1" thickBot="1">
      <c r="A213" s="112">
        <f>A176+31</f>
        <v>45231</v>
      </c>
      <c r="B213" s="113"/>
      <c r="C213" s="113"/>
      <c r="D213" s="113"/>
      <c r="E213" s="113"/>
      <c r="F213" s="114"/>
    </row>
    <row r="214" spans="1:6" s="96" customFormat="1" ht="15">
      <c r="A214" s="97" t="s">
        <v>27</v>
      </c>
      <c r="B214" s="98" t="s">
        <v>28</v>
      </c>
      <c r="C214" s="98" t="s">
        <v>29</v>
      </c>
      <c r="D214" s="98" t="s">
        <v>30</v>
      </c>
      <c r="E214" s="98" t="s">
        <v>31</v>
      </c>
      <c r="F214" s="98" t="s">
        <v>32</v>
      </c>
    </row>
    <row r="215" spans="1:6" s="96" customFormat="1" ht="15">
      <c r="A215" s="99" t="s">
        <v>33</v>
      </c>
      <c r="B215" s="111"/>
      <c r="C215" s="111"/>
      <c r="D215" s="100">
        <v>1</v>
      </c>
      <c r="E215" s="100">
        <v>2</v>
      </c>
      <c r="F215" s="100">
        <v>3</v>
      </c>
    </row>
    <row r="216" spans="1:6" s="96" customFormat="1" ht="15">
      <c r="A216" s="107" t="s">
        <v>34</v>
      </c>
      <c r="B216" s="109"/>
      <c r="C216" s="109"/>
      <c r="D216" s="110" t="s">
        <v>43</v>
      </c>
      <c r="E216" s="105"/>
      <c r="F216" s="105"/>
    </row>
    <row r="217" spans="1:6" s="96" customFormat="1" ht="15">
      <c r="A217" s="106"/>
      <c r="B217" s="109"/>
      <c r="C217" s="109"/>
      <c r="D217" s="106"/>
      <c r="E217" s="106"/>
      <c r="F217" s="106"/>
    </row>
    <row r="218" spans="1:6" s="96" customFormat="1" ht="15">
      <c r="A218" s="107" t="s">
        <v>40</v>
      </c>
      <c r="B218" s="109"/>
      <c r="C218" s="109"/>
      <c r="D218" s="102"/>
      <c r="E218" s="102"/>
      <c r="F218" s="102"/>
    </row>
    <row r="219" spans="1:6" s="96" customFormat="1" ht="15">
      <c r="A219" s="106"/>
      <c r="B219" s="109"/>
      <c r="C219" s="109"/>
      <c r="D219" s="101"/>
      <c r="E219" s="101"/>
      <c r="F219" s="101"/>
    </row>
    <row r="220" spans="1:6" s="96" customFormat="1" ht="15">
      <c r="A220" s="107" t="s">
        <v>41</v>
      </c>
      <c r="B220" s="109"/>
      <c r="C220" s="109"/>
      <c r="D220" s="102"/>
      <c r="E220" s="102"/>
      <c r="F220" s="102"/>
    </row>
    <row r="221" spans="1:6" s="96" customFormat="1" ht="15">
      <c r="A221" s="106"/>
      <c r="B221" s="106"/>
      <c r="C221" s="106"/>
      <c r="D221" s="101"/>
      <c r="E221" s="101"/>
      <c r="F221" s="101"/>
    </row>
    <row r="222" spans="1:6" s="96" customFormat="1" ht="15">
      <c r="A222" s="99" t="s">
        <v>33</v>
      </c>
      <c r="B222" s="100">
        <v>6</v>
      </c>
      <c r="C222" s="100">
        <v>7</v>
      </c>
      <c r="D222" s="100">
        <f t="shared" ref="D222:F222" si="21">D215+7</f>
        <v>8</v>
      </c>
      <c r="E222" s="100">
        <f t="shared" si="21"/>
        <v>9</v>
      </c>
      <c r="F222" s="100">
        <f t="shared" si="21"/>
        <v>10</v>
      </c>
    </row>
    <row r="223" spans="1:6" s="96" customFormat="1" ht="15">
      <c r="A223" s="107" t="s">
        <v>34</v>
      </c>
      <c r="B223" s="105"/>
      <c r="C223" s="105"/>
      <c r="D223" s="110" t="s">
        <v>43</v>
      </c>
      <c r="E223" s="105"/>
      <c r="F223" s="105"/>
    </row>
    <row r="224" spans="1:6" s="96" customFormat="1" ht="15">
      <c r="A224" s="106"/>
      <c r="B224" s="106"/>
      <c r="C224" s="106"/>
      <c r="D224" s="106"/>
      <c r="E224" s="106"/>
      <c r="F224" s="106"/>
    </row>
    <row r="225" spans="1:6" s="96" customFormat="1" ht="15">
      <c r="A225" s="107" t="s">
        <v>40</v>
      </c>
      <c r="B225" s="102"/>
      <c r="C225" s="102"/>
      <c r="D225" s="102"/>
      <c r="E225" s="102"/>
      <c r="F225" s="102"/>
    </row>
    <row r="226" spans="1:6" s="96" customFormat="1" ht="15">
      <c r="A226" s="106"/>
      <c r="B226" s="101"/>
      <c r="C226" s="101"/>
      <c r="D226" s="101"/>
      <c r="E226" s="101"/>
      <c r="F226" s="101"/>
    </row>
    <row r="227" spans="1:6" s="96" customFormat="1" ht="15">
      <c r="A227" s="107" t="s">
        <v>41</v>
      </c>
      <c r="B227" s="102"/>
      <c r="C227" s="102"/>
      <c r="D227" s="102"/>
      <c r="E227" s="102"/>
      <c r="F227" s="102"/>
    </row>
    <row r="228" spans="1:6" s="96" customFormat="1" ht="15">
      <c r="A228" s="106"/>
      <c r="B228" s="101"/>
      <c r="C228" s="101"/>
      <c r="D228" s="101"/>
      <c r="E228" s="101"/>
      <c r="F228" s="101"/>
    </row>
    <row r="229" spans="1:6" s="96" customFormat="1" ht="15">
      <c r="A229" s="99" t="s">
        <v>33</v>
      </c>
      <c r="B229" s="100">
        <f t="shared" ref="B229:F229" si="22">B222+7</f>
        <v>13</v>
      </c>
      <c r="C229" s="100">
        <f t="shared" si="22"/>
        <v>14</v>
      </c>
      <c r="D229" s="100">
        <f t="shared" si="22"/>
        <v>15</v>
      </c>
      <c r="E229" s="100">
        <f t="shared" si="22"/>
        <v>16</v>
      </c>
      <c r="F229" s="100">
        <f t="shared" si="22"/>
        <v>17</v>
      </c>
    </row>
    <row r="230" spans="1:6" s="96" customFormat="1" ht="15">
      <c r="A230" s="107" t="s">
        <v>34</v>
      </c>
      <c r="B230" s="108" t="s">
        <v>53</v>
      </c>
      <c r="C230" s="103"/>
      <c r="D230" s="110" t="s">
        <v>43</v>
      </c>
      <c r="E230" s="105"/>
      <c r="F230" s="105"/>
    </row>
    <row r="231" spans="1:6" s="96" customFormat="1" ht="15">
      <c r="A231" s="106"/>
      <c r="B231" s="109"/>
      <c r="C231" s="104"/>
      <c r="D231" s="106"/>
      <c r="E231" s="106"/>
      <c r="F231" s="106"/>
    </row>
    <row r="232" spans="1:6" s="96" customFormat="1" ht="15">
      <c r="A232" s="107" t="s">
        <v>40</v>
      </c>
      <c r="B232" s="109"/>
      <c r="C232" s="102"/>
      <c r="D232" s="102"/>
      <c r="E232" s="102"/>
      <c r="F232" s="102"/>
    </row>
    <row r="233" spans="1:6" s="96" customFormat="1" ht="15">
      <c r="A233" s="106"/>
      <c r="B233" s="109"/>
      <c r="C233" s="101"/>
      <c r="D233" s="101"/>
      <c r="E233" s="101"/>
      <c r="F233" s="101"/>
    </row>
    <row r="234" spans="1:6" s="96" customFormat="1" ht="15">
      <c r="A234" s="107" t="s">
        <v>41</v>
      </c>
      <c r="B234" s="109"/>
      <c r="C234" s="102"/>
      <c r="D234" s="102"/>
      <c r="E234" s="102"/>
      <c r="F234" s="102"/>
    </row>
    <row r="235" spans="1:6" s="96" customFormat="1" ht="15">
      <c r="A235" s="106"/>
      <c r="B235" s="106"/>
      <c r="C235" s="101"/>
      <c r="D235" s="101"/>
      <c r="E235" s="101"/>
      <c r="F235" s="101"/>
    </row>
    <row r="236" spans="1:6" s="96" customFormat="1" ht="15">
      <c r="A236" s="99" t="s">
        <v>33</v>
      </c>
      <c r="B236" s="100">
        <f t="shared" ref="B236:F236" si="23">B229+7</f>
        <v>20</v>
      </c>
      <c r="C236" s="100">
        <f t="shared" si="23"/>
        <v>21</v>
      </c>
      <c r="D236" s="100">
        <f t="shared" si="23"/>
        <v>22</v>
      </c>
      <c r="E236" s="100">
        <f t="shared" si="23"/>
        <v>23</v>
      </c>
      <c r="F236" s="100">
        <f t="shared" si="23"/>
        <v>24</v>
      </c>
    </row>
    <row r="237" spans="1:6" s="96" customFormat="1" ht="15">
      <c r="A237" s="107" t="s">
        <v>34</v>
      </c>
      <c r="B237" s="105"/>
      <c r="C237" s="105"/>
      <c r="D237" s="110" t="s">
        <v>43</v>
      </c>
      <c r="E237" s="105"/>
      <c r="F237" s="105"/>
    </row>
    <row r="238" spans="1:6" s="96" customFormat="1" ht="15">
      <c r="A238" s="106"/>
      <c r="B238" s="106"/>
      <c r="C238" s="106"/>
      <c r="D238" s="106"/>
      <c r="E238" s="106"/>
      <c r="F238" s="106"/>
    </row>
    <row r="239" spans="1:6" s="96" customFormat="1" ht="15">
      <c r="A239" s="107" t="s">
        <v>40</v>
      </c>
      <c r="B239" s="102"/>
      <c r="C239" s="102"/>
      <c r="D239" s="102"/>
      <c r="E239" s="102"/>
      <c r="F239" s="102"/>
    </row>
    <row r="240" spans="1:6" s="96" customFormat="1" ht="15">
      <c r="A240" s="106"/>
      <c r="B240" s="101"/>
      <c r="C240" s="101"/>
      <c r="D240" s="101"/>
      <c r="E240" s="101"/>
      <c r="F240" s="101"/>
    </row>
    <row r="241" spans="1:6" s="96" customFormat="1" ht="15">
      <c r="A241" s="107" t="s">
        <v>41</v>
      </c>
      <c r="B241" s="102"/>
      <c r="C241" s="102"/>
      <c r="D241" s="102"/>
      <c r="E241" s="102"/>
      <c r="F241" s="102"/>
    </row>
    <row r="242" spans="1:6" s="96" customFormat="1" ht="15">
      <c r="A242" s="106"/>
      <c r="B242" s="101"/>
      <c r="C242" s="101"/>
      <c r="D242" s="101"/>
      <c r="E242" s="101"/>
      <c r="F242" s="101"/>
    </row>
    <row r="243" spans="1:6" s="96" customFormat="1" ht="15">
      <c r="A243" s="99" t="s">
        <v>33</v>
      </c>
      <c r="B243" s="100">
        <f t="shared" ref="B243:E243" si="24">B236+7</f>
        <v>27</v>
      </c>
      <c r="C243" s="100">
        <f t="shared" si="24"/>
        <v>28</v>
      </c>
      <c r="D243" s="100">
        <f t="shared" si="24"/>
        <v>29</v>
      </c>
      <c r="E243" s="100">
        <f t="shared" si="24"/>
        <v>30</v>
      </c>
      <c r="F243" s="111"/>
    </row>
    <row r="244" spans="1:6" s="96" customFormat="1" ht="15">
      <c r="A244" s="107" t="s">
        <v>34</v>
      </c>
      <c r="B244" s="105"/>
      <c r="C244" s="105"/>
      <c r="D244" s="110" t="s">
        <v>43</v>
      </c>
      <c r="E244" s="105"/>
      <c r="F244" s="109"/>
    </row>
    <row r="245" spans="1:6" s="96" customFormat="1" ht="15">
      <c r="A245" s="106"/>
      <c r="B245" s="106"/>
      <c r="C245" s="106"/>
      <c r="D245" s="106"/>
      <c r="E245" s="106"/>
      <c r="F245" s="109"/>
    </row>
    <row r="246" spans="1:6" s="96" customFormat="1" ht="15">
      <c r="A246" s="107" t="s">
        <v>40</v>
      </c>
      <c r="B246" s="102"/>
      <c r="C246" s="102"/>
      <c r="D246" s="102"/>
      <c r="E246" s="102"/>
      <c r="F246" s="109"/>
    </row>
    <row r="247" spans="1:6" s="96" customFormat="1" ht="15">
      <c r="A247" s="106"/>
      <c r="B247" s="101"/>
      <c r="C247" s="101"/>
      <c r="D247" s="101"/>
      <c r="E247" s="101"/>
      <c r="F247" s="109"/>
    </row>
    <row r="248" spans="1:6" s="96" customFormat="1" ht="15">
      <c r="A248" s="107" t="s">
        <v>41</v>
      </c>
      <c r="B248" s="102"/>
      <c r="C248" s="102"/>
      <c r="D248" s="102"/>
      <c r="E248" s="102"/>
      <c r="F248" s="109"/>
    </row>
    <row r="249" spans="1:6" s="96" customFormat="1" thickBot="1">
      <c r="A249" s="106"/>
      <c r="B249" s="101"/>
      <c r="C249" s="101"/>
      <c r="D249" s="101"/>
      <c r="E249" s="101"/>
      <c r="F249" s="106"/>
    </row>
    <row r="250" spans="1:6" s="96" customFormat="1" thickBot="1">
      <c r="A250" s="112">
        <f>A213+31</f>
        <v>45262</v>
      </c>
      <c r="B250" s="113"/>
      <c r="C250" s="113"/>
      <c r="D250" s="113"/>
      <c r="E250" s="113"/>
      <c r="F250" s="114"/>
    </row>
    <row r="251" spans="1:6" s="96" customFormat="1" ht="15">
      <c r="A251" s="97" t="s">
        <v>27</v>
      </c>
      <c r="B251" s="98" t="s">
        <v>28</v>
      </c>
      <c r="C251" s="98" t="s">
        <v>29</v>
      </c>
      <c r="D251" s="98" t="s">
        <v>30</v>
      </c>
      <c r="E251" s="98" t="s">
        <v>31</v>
      </c>
      <c r="F251" s="98" t="s">
        <v>32</v>
      </c>
    </row>
    <row r="252" spans="1:6" s="96" customFormat="1" ht="15">
      <c r="A252" s="99" t="s">
        <v>33</v>
      </c>
      <c r="B252" s="111"/>
      <c r="C252" s="111"/>
      <c r="D252" s="111"/>
      <c r="E252" s="111"/>
      <c r="F252" s="100">
        <v>1</v>
      </c>
    </row>
    <row r="253" spans="1:6" s="96" customFormat="1" ht="15">
      <c r="A253" s="107" t="s">
        <v>34</v>
      </c>
      <c r="B253" s="109"/>
      <c r="C253" s="109"/>
      <c r="D253" s="109"/>
      <c r="E253" s="109"/>
      <c r="F253" s="105"/>
    </row>
    <row r="254" spans="1:6" s="96" customFormat="1" ht="15">
      <c r="A254" s="106"/>
      <c r="B254" s="109"/>
      <c r="C254" s="109"/>
      <c r="D254" s="109"/>
      <c r="E254" s="109"/>
      <c r="F254" s="106"/>
    </row>
    <row r="255" spans="1:6" s="96" customFormat="1" ht="15">
      <c r="A255" s="107" t="s">
        <v>40</v>
      </c>
      <c r="B255" s="109"/>
      <c r="C255" s="109"/>
      <c r="D255" s="109"/>
      <c r="E255" s="109"/>
      <c r="F255" s="102"/>
    </row>
    <row r="256" spans="1:6" s="96" customFormat="1" ht="15">
      <c r="A256" s="106"/>
      <c r="B256" s="109"/>
      <c r="C256" s="109"/>
      <c r="D256" s="109"/>
      <c r="E256" s="109"/>
      <c r="F256" s="101"/>
    </row>
    <row r="257" spans="1:6" s="96" customFormat="1" ht="15">
      <c r="A257" s="107" t="s">
        <v>41</v>
      </c>
      <c r="B257" s="109"/>
      <c r="C257" s="109"/>
      <c r="D257" s="109"/>
      <c r="E257" s="109"/>
      <c r="F257" s="102"/>
    </row>
    <row r="258" spans="1:6" s="96" customFormat="1" ht="15">
      <c r="A258" s="106"/>
      <c r="B258" s="106"/>
      <c r="C258" s="106"/>
      <c r="D258" s="106"/>
      <c r="E258" s="106"/>
      <c r="F258" s="101"/>
    </row>
    <row r="259" spans="1:6" s="96" customFormat="1" ht="15">
      <c r="A259" s="99" t="s">
        <v>33</v>
      </c>
      <c r="B259" s="100">
        <v>4</v>
      </c>
      <c r="C259" s="100">
        <v>5</v>
      </c>
      <c r="D259" s="100">
        <v>6</v>
      </c>
      <c r="E259" s="100">
        <v>7</v>
      </c>
      <c r="F259" s="100">
        <f>F252+7</f>
        <v>8</v>
      </c>
    </row>
    <row r="260" spans="1:6" s="96" customFormat="1" ht="15">
      <c r="A260" s="107" t="s">
        <v>34</v>
      </c>
      <c r="B260" s="105"/>
      <c r="C260" s="105"/>
      <c r="D260" s="110" t="s">
        <v>43</v>
      </c>
      <c r="E260" s="105"/>
      <c r="F260" s="105"/>
    </row>
    <row r="261" spans="1:6" s="96" customFormat="1" ht="15">
      <c r="A261" s="106"/>
      <c r="B261" s="106"/>
      <c r="C261" s="106"/>
      <c r="D261" s="106"/>
      <c r="E261" s="106"/>
      <c r="F261" s="106"/>
    </row>
    <row r="262" spans="1:6" s="96" customFormat="1" ht="15">
      <c r="A262" s="107" t="s">
        <v>40</v>
      </c>
      <c r="B262" s="102"/>
      <c r="C262" s="102"/>
      <c r="D262" s="102"/>
      <c r="E262" s="102"/>
      <c r="F262" s="102"/>
    </row>
    <row r="263" spans="1:6" s="96" customFormat="1" ht="15">
      <c r="A263" s="106"/>
      <c r="B263" s="101"/>
      <c r="C263" s="101"/>
      <c r="D263" s="101"/>
      <c r="E263" s="101"/>
      <c r="F263" s="101"/>
    </row>
    <row r="264" spans="1:6" s="96" customFormat="1" ht="15">
      <c r="A264" s="107" t="s">
        <v>41</v>
      </c>
      <c r="B264" s="102"/>
      <c r="C264" s="102"/>
      <c r="D264" s="102"/>
      <c r="E264" s="102"/>
      <c r="F264" s="102"/>
    </row>
    <row r="265" spans="1:6" s="96" customFormat="1" ht="15">
      <c r="A265" s="106"/>
      <c r="B265" s="101"/>
      <c r="C265" s="101"/>
      <c r="D265" s="101"/>
      <c r="E265" s="101"/>
      <c r="F265" s="101"/>
    </row>
    <row r="266" spans="1:6" s="96" customFormat="1" ht="15">
      <c r="A266" s="99" t="s">
        <v>33</v>
      </c>
      <c r="B266" s="100">
        <f t="shared" ref="B266:F266" si="25">B259+7</f>
        <v>11</v>
      </c>
      <c r="C266" s="100">
        <f t="shared" si="25"/>
        <v>12</v>
      </c>
      <c r="D266" s="100">
        <f t="shared" si="25"/>
        <v>13</v>
      </c>
      <c r="E266" s="100">
        <f t="shared" si="25"/>
        <v>14</v>
      </c>
      <c r="F266" s="100">
        <f t="shared" si="25"/>
        <v>15</v>
      </c>
    </row>
    <row r="267" spans="1:6" s="96" customFormat="1" ht="15">
      <c r="A267" s="107" t="s">
        <v>34</v>
      </c>
      <c r="B267" s="105"/>
      <c r="C267" s="103"/>
      <c r="D267" s="110" t="s">
        <v>43</v>
      </c>
      <c r="E267" s="105"/>
      <c r="F267" s="105"/>
    </row>
    <row r="268" spans="1:6" s="96" customFormat="1" ht="15">
      <c r="A268" s="106"/>
      <c r="B268" s="106"/>
      <c r="C268" s="104"/>
      <c r="D268" s="106"/>
      <c r="E268" s="106"/>
      <c r="F268" s="106"/>
    </row>
    <row r="269" spans="1:6" s="96" customFormat="1" ht="15">
      <c r="A269" s="107" t="s">
        <v>40</v>
      </c>
      <c r="B269" s="102"/>
      <c r="C269" s="102"/>
      <c r="D269" s="102"/>
      <c r="E269" s="102"/>
      <c r="F269" s="102"/>
    </row>
    <row r="270" spans="1:6" s="96" customFormat="1" ht="15">
      <c r="A270" s="106"/>
      <c r="B270" s="101"/>
      <c r="C270" s="101"/>
      <c r="D270" s="101"/>
      <c r="E270" s="101"/>
      <c r="F270" s="101"/>
    </row>
    <row r="271" spans="1:6" s="96" customFormat="1" ht="15">
      <c r="A271" s="107" t="s">
        <v>41</v>
      </c>
      <c r="B271" s="102"/>
      <c r="C271" s="102"/>
      <c r="D271" s="102"/>
      <c r="E271" s="102"/>
      <c r="F271" s="102"/>
    </row>
    <row r="272" spans="1:6" s="96" customFormat="1" ht="15">
      <c r="A272" s="106"/>
      <c r="B272" s="101"/>
      <c r="C272" s="101"/>
      <c r="D272" s="101"/>
      <c r="E272" s="101"/>
      <c r="F272" s="101"/>
    </row>
    <row r="273" spans="1:6" s="96" customFormat="1" ht="15">
      <c r="A273" s="99" t="s">
        <v>33</v>
      </c>
      <c r="B273" s="100">
        <f t="shared" ref="B273:F273" si="26">B266+7</f>
        <v>18</v>
      </c>
      <c r="C273" s="100">
        <f t="shared" si="26"/>
        <v>19</v>
      </c>
      <c r="D273" s="100">
        <f t="shared" si="26"/>
        <v>20</v>
      </c>
      <c r="E273" s="100">
        <f t="shared" si="26"/>
        <v>21</v>
      </c>
      <c r="F273" s="100">
        <f t="shared" si="26"/>
        <v>22</v>
      </c>
    </row>
    <row r="274" spans="1:6" s="96" customFormat="1" ht="15">
      <c r="A274" s="107" t="s">
        <v>34</v>
      </c>
      <c r="B274" s="105"/>
      <c r="C274" s="105"/>
      <c r="D274" s="110" t="s">
        <v>43</v>
      </c>
      <c r="E274" s="105"/>
      <c r="F274" s="105"/>
    </row>
    <row r="275" spans="1:6" s="96" customFormat="1" ht="15">
      <c r="A275" s="106"/>
      <c r="B275" s="106"/>
      <c r="C275" s="106"/>
      <c r="D275" s="106"/>
      <c r="E275" s="106"/>
      <c r="F275" s="106"/>
    </row>
    <row r="276" spans="1:6" s="96" customFormat="1" ht="15">
      <c r="A276" s="107" t="s">
        <v>40</v>
      </c>
      <c r="B276" s="102"/>
      <c r="C276" s="102"/>
      <c r="D276" s="102"/>
      <c r="E276" s="102"/>
      <c r="F276" s="102"/>
    </row>
    <row r="277" spans="1:6" s="96" customFormat="1" ht="15">
      <c r="A277" s="106"/>
      <c r="B277" s="101"/>
      <c r="C277" s="101"/>
      <c r="D277" s="101"/>
      <c r="E277" s="101"/>
      <c r="F277" s="101"/>
    </row>
    <row r="278" spans="1:6" s="96" customFormat="1" ht="15">
      <c r="A278" s="107" t="s">
        <v>41</v>
      </c>
      <c r="B278" s="102"/>
      <c r="C278" s="102"/>
      <c r="D278" s="102"/>
      <c r="E278" s="102"/>
      <c r="F278" s="102"/>
    </row>
    <row r="279" spans="1:6" s="96" customFormat="1" ht="15">
      <c r="A279" s="106"/>
      <c r="B279" s="101"/>
      <c r="C279" s="101"/>
      <c r="D279" s="101"/>
      <c r="E279" s="101"/>
      <c r="F279" s="101"/>
    </row>
    <row r="280" spans="1:6" s="96" customFormat="1" ht="15">
      <c r="A280" s="99" t="s">
        <v>33</v>
      </c>
      <c r="B280" s="100">
        <f t="shared" ref="B280:F280" si="27">B273+7</f>
        <v>25</v>
      </c>
      <c r="C280" s="100">
        <f t="shared" si="27"/>
        <v>26</v>
      </c>
      <c r="D280" s="100">
        <f t="shared" si="27"/>
        <v>27</v>
      </c>
      <c r="E280" s="100">
        <f t="shared" si="27"/>
        <v>28</v>
      </c>
      <c r="F280" s="100">
        <f t="shared" si="27"/>
        <v>29</v>
      </c>
    </row>
    <row r="281" spans="1:6" s="96" customFormat="1" ht="15">
      <c r="A281" s="107" t="s">
        <v>34</v>
      </c>
      <c r="B281" s="108" t="s">
        <v>54</v>
      </c>
      <c r="C281" s="105"/>
      <c r="D281" s="110" t="s">
        <v>43</v>
      </c>
      <c r="E281" s="105"/>
      <c r="F281" s="105"/>
    </row>
    <row r="282" spans="1:6" s="96" customFormat="1" ht="15">
      <c r="A282" s="106"/>
      <c r="B282" s="109"/>
      <c r="C282" s="106"/>
      <c r="D282" s="106"/>
      <c r="E282" s="106"/>
      <c r="F282" s="106"/>
    </row>
    <row r="283" spans="1:6" s="96" customFormat="1" ht="15">
      <c r="A283" s="107" t="s">
        <v>40</v>
      </c>
      <c r="B283" s="109"/>
      <c r="C283" s="102"/>
      <c r="D283" s="102"/>
      <c r="E283" s="102"/>
      <c r="F283" s="102"/>
    </row>
    <row r="284" spans="1:6" s="96" customFormat="1" ht="15">
      <c r="A284" s="106"/>
      <c r="B284" s="109"/>
      <c r="C284" s="101"/>
      <c r="D284" s="101"/>
      <c r="E284" s="101"/>
      <c r="F284" s="101"/>
    </row>
    <row r="285" spans="1:6" s="96" customFormat="1" ht="15">
      <c r="A285" s="107" t="s">
        <v>41</v>
      </c>
      <c r="B285" s="109"/>
      <c r="C285" s="102"/>
      <c r="D285" s="102"/>
      <c r="E285" s="102"/>
      <c r="F285" s="102"/>
    </row>
    <row r="286" spans="1:6" s="96" customFormat="1" ht="15">
      <c r="A286" s="106"/>
      <c r="B286" s="106"/>
      <c r="C286" s="101"/>
      <c r="D286" s="101"/>
      <c r="E286" s="101"/>
      <c r="F286" s="101"/>
    </row>
  </sheetData>
  <mergeCells count="317">
    <mergeCell ref="A269:A270"/>
    <mergeCell ref="A271:A272"/>
    <mergeCell ref="A274:A275"/>
    <mergeCell ref="B274:B275"/>
    <mergeCell ref="C274:C275"/>
    <mergeCell ref="D274:D275"/>
    <mergeCell ref="E274:E275"/>
    <mergeCell ref="A281:A282"/>
    <mergeCell ref="A267:A268"/>
    <mergeCell ref="A260:A261"/>
    <mergeCell ref="B260:B261"/>
    <mergeCell ref="C260:C261"/>
    <mergeCell ref="D260:D261"/>
    <mergeCell ref="E260:E261"/>
    <mergeCell ref="F260:F261"/>
    <mergeCell ref="A262:A263"/>
    <mergeCell ref="A264:A265"/>
    <mergeCell ref="B267:B268"/>
    <mergeCell ref="D267:D268"/>
    <mergeCell ref="E267:E268"/>
    <mergeCell ref="F267:F268"/>
    <mergeCell ref="A250:F250"/>
    <mergeCell ref="B252:B258"/>
    <mergeCell ref="C252:C258"/>
    <mergeCell ref="D252:D258"/>
    <mergeCell ref="E252:E258"/>
    <mergeCell ref="A253:A254"/>
    <mergeCell ref="F253:F254"/>
    <mergeCell ref="A255:A256"/>
    <mergeCell ref="A257:A258"/>
    <mergeCell ref="A190:A191"/>
    <mergeCell ref="A193:A194"/>
    <mergeCell ref="B193:B194"/>
    <mergeCell ref="D193:D194"/>
    <mergeCell ref="E193:E194"/>
    <mergeCell ref="F193:F194"/>
    <mergeCell ref="A195:A196"/>
    <mergeCell ref="A197:A198"/>
    <mergeCell ref="A207:A208"/>
    <mergeCell ref="A200:A201"/>
    <mergeCell ref="B200:B201"/>
    <mergeCell ref="C200:C201"/>
    <mergeCell ref="D200:D201"/>
    <mergeCell ref="E200:E201"/>
    <mergeCell ref="F200:F201"/>
    <mergeCell ref="A202:A203"/>
    <mergeCell ref="A204:A205"/>
    <mergeCell ref="D206:D212"/>
    <mergeCell ref="E206:E212"/>
    <mergeCell ref="F206:F212"/>
    <mergeCell ref="B207:B208"/>
    <mergeCell ref="C207:C208"/>
    <mergeCell ref="A209:A210"/>
    <mergeCell ref="A211:A212"/>
    <mergeCell ref="A181:A182"/>
    <mergeCell ref="A183:A184"/>
    <mergeCell ref="A186:A187"/>
    <mergeCell ref="B186:B187"/>
    <mergeCell ref="C186:C187"/>
    <mergeCell ref="D186:D187"/>
    <mergeCell ref="E186:E187"/>
    <mergeCell ref="F186:F187"/>
    <mergeCell ref="A188:A189"/>
    <mergeCell ref="C105:C106"/>
    <mergeCell ref="A133:A134"/>
    <mergeCell ref="A126:A127"/>
    <mergeCell ref="A128:A129"/>
    <mergeCell ref="A130:A131"/>
    <mergeCell ref="F132:F138"/>
    <mergeCell ref="A107:A108"/>
    <mergeCell ref="A109:A110"/>
    <mergeCell ref="A112:A113"/>
    <mergeCell ref="B112:B113"/>
    <mergeCell ref="C112:C113"/>
    <mergeCell ref="D112:D117"/>
    <mergeCell ref="E112:E113"/>
    <mergeCell ref="F112:F113"/>
    <mergeCell ref="A114:A115"/>
    <mergeCell ref="A116:A117"/>
    <mergeCell ref="B119:B120"/>
    <mergeCell ref="D119:D120"/>
    <mergeCell ref="E119:E120"/>
    <mergeCell ref="F119:F120"/>
    <mergeCell ref="A121:A122"/>
    <mergeCell ref="A123:A124"/>
    <mergeCell ref="B126:B127"/>
    <mergeCell ref="C126:C127"/>
    <mergeCell ref="A70:A71"/>
    <mergeCell ref="A72:A73"/>
    <mergeCell ref="A82:A83"/>
    <mergeCell ref="A75:A76"/>
    <mergeCell ref="B75:B76"/>
    <mergeCell ref="C75:C76"/>
    <mergeCell ref="D75:D76"/>
    <mergeCell ref="E75:E76"/>
    <mergeCell ref="F75:F76"/>
    <mergeCell ref="A77:A78"/>
    <mergeCell ref="A79:A80"/>
    <mergeCell ref="B82:B83"/>
    <mergeCell ref="D82:D83"/>
    <mergeCell ref="E82:E83"/>
    <mergeCell ref="F82:F83"/>
    <mergeCell ref="A61:A62"/>
    <mergeCell ref="B61:B62"/>
    <mergeCell ref="C61:C62"/>
    <mergeCell ref="D61:D62"/>
    <mergeCell ref="E61:E64"/>
    <mergeCell ref="F61:F62"/>
    <mergeCell ref="A63:A64"/>
    <mergeCell ref="A65:F65"/>
    <mergeCell ref="A68:A69"/>
    <mergeCell ref="B68:B69"/>
    <mergeCell ref="C68:C69"/>
    <mergeCell ref="D68:D69"/>
    <mergeCell ref="E68:E69"/>
    <mergeCell ref="F68:F69"/>
    <mergeCell ref="F48:F49"/>
    <mergeCell ref="A36:A37"/>
    <mergeCell ref="A38:F38"/>
    <mergeCell ref="A41:A42"/>
    <mergeCell ref="A43:A44"/>
    <mergeCell ref="B40:B44"/>
    <mergeCell ref="C40:C44"/>
    <mergeCell ref="D40:D44"/>
    <mergeCell ref="E41:E43"/>
    <mergeCell ref="F41:F44"/>
    <mergeCell ref="A46:A47"/>
    <mergeCell ref="B46:B47"/>
    <mergeCell ref="C46:C47"/>
    <mergeCell ref="D46:D47"/>
    <mergeCell ref="E46:E47"/>
    <mergeCell ref="F46:F47"/>
    <mergeCell ref="A48:A49"/>
    <mergeCell ref="E25:F26"/>
    <mergeCell ref="A27:A28"/>
    <mergeCell ref="A29:A30"/>
    <mergeCell ref="E31:E37"/>
    <mergeCell ref="F31:F37"/>
    <mergeCell ref="A32:A33"/>
    <mergeCell ref="B32:B33"/>
    <mergeCell ref="C32:C33"/>
    <mergeCell ref="D32:D33"/>
    <mergeCell ref="A34:A35"/>
    <mergeCell ref="A20:A21"/>
    <mergeCell ref="A22:A23"/>
    <mergeCell ref="A25:A26"/>
    <mergeCell ref="B25:B26"/>
    <mergeCell ref="C25:C26"/>
    <mergeCell ref="D25:D26"/>
    <mergeCell ref="A15:A16"/>
    <mergeCell ref="A18:A19"/>
    <mergeCell ref="B18:B19"/>
    <mergeCell ref="C18:C19"/>
    <mergeCell ref="D18:D19"/>
    <mergeCell ref="E18:F19"/>
    <mergeCell ref="A11:A12"/>
    <mergeCell ref="B11:C12"/>
    <mergeCell ref="D11:D12"/>
    <mergeCell ref="E11:E12"/>
    <mergeCell ref="F11:F12"/>
    <mergeCell ref="A13:A14"/>
    <mergeCell ref="A1:F1"/>
    <mergeCell ref="A4:A5"/>
    <mergeCell ref="B4:B9"/>
    <mergeCell ref="C4:C5"/>
    <mergeCell ref="D4:D5"/>
    <mergeCell ref="E4:E5"/>
    <mergeCell ref="F4:F5"/>
    <mergeCell ref="A6:A7"/>
    <mergeCell ref="A8:A9"/>
    <mergeCell ref="F51:F52"/>
    <mergeCell ref="A53:A54"/>
    <mergeCell ref="A56:A57"/>
    <mergeCell ref="B56:B57"/>
    <mergeCell ref="C56:C57"/>
    <mergeCell ref="D56:D57"/>
    <mergeCell ref="E56:E57"/>
    <mergeCell ref="F56:F57"/>
    <mergeCell ref="A58:A59"/>
    <mergeCell ref="B58:B59"/>
    <mergeCell ref="C58:D59"/>
    <mergeCell ref="A51:A52"/>
    <mergeCell ref="B51:B52"/>
    <mergeCell ref="C51:C52"/>
    <mergeCell ref="D51:D52"/>
    <mergeCell ref="E51:E52"/>
    <mergeCell ref="A84:A85"/>
    <mergeCell ref="A86:A87"/>
    <mergeCell ref="B89:B90"/>
    <mergeCell ref="C89:C90"/>
    <mergeCell ref="D89:D90"/>
    <mergeCell ref="E89:E90"/>
    <mergeCell ref="F89:F90"/>
    <mergeCell ref="A91:A92"/>
    <mergeCell ref="D105:D106"/>
    <mergeCell ref="E105:E106"/>
    <mergeCell ref="F105:F106"/>
    <mergeCell ref="A96:A97"/>
    <mergeCell ref="A89:A90"/>
    <mergeCell ref="A93:A94"/>
    <mergeCell ref="C95:C101"/>
    <mergeCell ref="D95:D101"/>
    <mergeCell ref="E95:E101"/>
    <mergeCell ref="F95:F101"/>
    <mergeCell ref="B96:B97"/>
    <mergeCell ref="A98:A99"/>
    <mergeCell ref="A100:A101"/>
    <mergeCell ref="A102:F102"/>
    <mergeCell ref="B104:B110"/>
    <mergeCell ref="A105:A106"/>
    <mergeCell ref="D126:D127"/>
    <mergeCell ref="E126:E127"/>
    <mergeCell ref="F126:F127"/>
    <mergeCell ref="A119:A120"/>
    <mergeCell ref="B133:B134"/>
    <mergeCell ref="C133:C134"/>
    <mergeCell ref="D133:D134"/>
    <mergeCell ref="E133:E134"/>
    <mergeCell ref="A135:A136"/>
    <mergeCell ref="A137:A138"/>
    <mergeCell ref="A139:F139"/>
    <mergeCell ref="B141:B147"/>
    <mergeCell ref="C141:C147"/>
    <mergeCell ref="D141:D147"/>
    <mergeCell ref="E141:E147"/>
    <mergeCell ref="A142:A143"/>
    <mergeCell ref="F142:F143"/>
    <mergeCell ref="A144:A145"/>
    <mergeCell ref="A146:A147"/>
    <mergeCell ref="F149:F150"/>
    <mergeCell ref="A151:A152"/>
    <mergeCell ref="A153:A154"/>
    <mergeCell ref="B156:B157"/>
    <mergeCell ref="D156:D157"/>
    <mergeCell ref="E156:E157"/>
    <mergeCell ref="F156:F157"/>
    <mergeCell ref="A158:A159"/>
    <mergeCell ref="A160:A161"/>
    <mergeCell ref="A156:A157"/>
    <mergeCell ref="A149:A150"/>
    <mergeCell ref="B149:B150"/>
    <mergeCell ref="C149:C150"/>
    <mergeCell ref="D149:D150"/>
    <mergeCell ref="E149:E150"/>
    <mergeCell ref="E163:E164"/>
    <mergeCell ref="F163:F164"/>
    <mergeCell ref="A165:A166"/>
    <mergeCell ref="A167:A168"/>
    <mergeCell ref="B170:B171"/>
    <mergeCell ref="C170:C171"/>
    <mergeCell ref="D170:D171"/>
    <mergeCell ref="E170:E171"/>
    <mergeCell ref="F170:F171"/>
    <mergeCell ref="A170:A171"/>
    <mergeCell ref="A163:A164"/>
    <mergeCell ref="B163:B164"/>
    <mergeCell ref="C163:C164"/>
    <mergeCell ref="D163:D164"/>
    <mergeCell ref="A172:A173"/>
    <mergeCell ref="A174:A175"/>
    <mergeCell ref="A176:F176"/>
    <mergeCell ref="A179:A180"/>
    <mergeCell ref="B179:B180"/>
    <mergeCell ref="C179:C180"/>
    <mergeCell ref="D179:D180"/>
    <mergeCell ref="E179:E180"/>
    <mergeCell ref="F179:F180"/>
    <mergeCell ref="A213:F213"/>
    <mergeCell ref="B215:B221"/>
    <mergeCell ref="C215:C221"/>
    <mergeCell ref="A216:A217"/>
    <mergeCell ref="D216:D217"/>
    <mergeCell ref="E216:E217"/>
    <mergeCell ref="F216:F217"/>
    <mergeCell ref="A218:A219"/>
    <mergeCell ref="A220:A221"/>
    <mergeCell ref="A223:A224"/>
    <mergeCell ref="B223:B224"/>
    <mergeCell ref="C223:C224"/>
    <mergeCell ref="D223:D224"/>
    <mergeCell ref="E223:E224"/>
    <mergeCell ref="F223:F224"/>
    <mergeCell ref="A225:A226"/>
    <mergeCell ref="A227:A228"/>
    <mergeCell ref="B230:B235"/>
    <mergeCell ref="D230:D231"/>
    <mergeCell ref="E230:E231"/>
    <mergeCell ref="F230:F231"/>
    <mergeCell ref="A232:A233"/>
    <mergeCell ref="A234:A235"/>
    <mergeCell ref="A230:A231"/>
    <mergeCell ref="E237:E238"/>
    <mergeCell ref="F237:F238"/>
    <mergeCell ref="A239:A240"/>
    <mergeCell ref="A241:A242"/>
    <mergeCell ref="F243:F249"/>
    <mergeCell ref="B244:B245"/>
    <mergeCell ref="C244:C245"/>
    <mergeCell ref="D244:D245"/>
    <mergeCell ref="E244:E245"/>
    <mergeCell ref="A246:A247"/>
    <mergeCell ref="A248:A249"/>
    <mergeCell ref="A237:A238"/>
    <mergeCell ref="A244:A245"/>
    <mergeCell ref="B237:B238"/>
    <mergeCell ref="C237:C238"/>
    <mergeCell ref="D237:D238"/>
    <mergeCell ref="F274:F275"/>
    <mergeCell ref="A276:A277"/>
    <mergeCell ref="A278:A279"/>
    <mergeCell ref="B281:B286"/>
    <mergeCell ref="C281:C282"/>
    <mergeCell ref="D281:D282"/>
    <mergeCell ref="E281:E282"/>
    <mergeCell ref="F281:F282"/>
    <mergeCell ref="A283:A284"/>
    <mergeCell ref="A285:A28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D362-001D-D64D-879E-87A3D0B66C8C}">
  <sheetPr codeName="Sheet1">
    <tabColor theme="0" tint="-0.34998626667073579"/>
  </sheetPr>
  <dimension ref="A1:AW83"/>
  <sheetViews>
    <sheetView showZeros="0" tabSelected="1" zoomScale="38" zoomScaleNormal="50" zoomScaleSheetLayoutView="41" workbookViewId="0">
      <pane ySplit="7" topLeftCell="A8" activePane="bottomLeft" state="frozen"/>
      <selection pane="bottomLeft" activeCell="Y58" sqref="Y58"/>
    </sheetView>
  </sheetViews>
  <sheetFormatPr baseColWidth="10" defaultColWidth="11.83203125" defaultRowHeight="16"/>
  <cols>
    <col min="1" max="1" width="7.33203125" style="11" customWidth="1"/>
    <col min="2" max="2" width="13" style="11" customWidth="1"/>
    <col min="3" max="3" width="11.83203125" style="11"/>
    <col min="4" max="4" width="39.6640625" style="11" customWidth="1"/>
    <col min="5" max="5" width="16" style="11" bestFit="1" customWidth="1"/>
    <col min="6" max="7" width="7.5" style="11" customWidth="1"/>
    <col min="8" max="8" width="11.83203125" style="11"/>
    <col min="9" max="9" width="13" style="11" customWidth="1"/>
    <col min="10" max="10" width="11.83203125" style="11"/>
    <col min="11" max="11" width="39.6640625" style="11" customWidth="1"/>
    <col min="12" max="12" width="16" style="11" bestFit="1" customWidth="1"/>
    <col min="13" max="14" width="7.5" style="11" customWidth="1"/>
    <col min="15" max="15" width="11.83203125" style="11" customWidth="1"/>
    <col min="16" max="16" width="13" style="11" customWidth="1"/>
    <col min="17" max="17" width="11.83203125" style="11"/>
    <col min="18" max="18" width="39.6640625" style="11" customWidth="1"/>
    <col min="19" max="19" width="16" style="11" bestFit="1" customWidth="1"/>
    <col min="20" max="21" width="7.5" style="11" customWidth="1"/>
    <col min="22" max="22" width="11.83203125" style="11"/>
    <col min="23" max="23" width="13" style="11" customWidth="1"/>
    <col min="24" max="24" width="11.83203125" style="11"/>
    <col min="25" max="25" width="39.6640625" style="11" customWidth="1"/>
    <col min="26" max="26" width="16" style="11" bestFit="1" customWidth="1"/>
    <col min="27" max="28" width="7.5" style="11" customWidth="1"/>
    <col min="29" max="29" width="11.83203125" style="11"/>
    <col min="30" max="30" width="13" style="11" customWidth="1"/>
    <col min="31" max="31" width="11.83203125" style="11"/>
    <col min="32" max="32" width="39.6640625" style="11" customWidth="1"/>
    <col min="33" max="33" width="16" style="11" bestFit="1" customWidth="1"/>
    <col min="34" max="35" width="7.5" style="11" customWidth="1"/>
    <col min="36" max="36" width="11.83203125" style="11"/>
    <col min="37" max="37" width="8.6640625" style="11" customWidth="1"/>
    <col min="38" max="38" width="7.1640625" style="11" customWidth="1"/>
    <col min="39" max="39" width="12.33203125" style="11" customWidth="1"/>
    <col min="40" max="40" width="11.83203125" style="11"/>
    <col min="41" max="41" width="4.6640625" style="11" customWidth="1"/>
    <col min="42" max="42" width="6" style="11" customWidth="1"/>
    <col min="43" max="49" width="5.5" style="11" customWidth="1"/>
    <col min="50" max="16384" width="11.83203125" style="11"/>
  </cols>
  <sheetData>
    <row r="1" spans="1:49" ht="45" customHeight="1" thickBot="1">
      <c r="A1" s="8"/>
      <c r="B1" s="145">
        <f>DATE(AN2,AN5,1)</f>
        <v>45078</v>
      </c>
      <c r="C1" s="146"/>
      <c r="D1" s="146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10"/>
      <c r="AK1" s="8"/>
      <c r="AL1" s="64"/>
      <c r="AM1" s="147" t="s">
        <v>25</v>
      </c>
      <c r="AN1" s="147"/>
      <c r="AO1" s="147"/>
      <c r="AP1" s="12"/>
    </row>
    <row r="2" spans="1:49" ht="26" customHeight="1" thickBot="1">
      <c r="A2" s="8"/>
      <c r="B2" s="148" t="s">
        <v>7</v>
      </c>
      <c r="C2" s="147"/>
      <c r="D2" s="147"/>
      <c r="E2" s="147"/>
      <c r="F2" s="147"/>
      <c r="G2" s="147"/>
      <c r="H2" s="149"/>
      <c r="I2" s="148" t="s">
        <v>10</v>
      </c>
      <c r="J2" s="147"/>
      <c r="K2" s="147"/>
      <c r="L2" s="147"/>
      <c r="M2" s="147"/>
      <c r="N2" s="147"/>
      <c r="O2" s="149"/>
      <c r="P2" s="148" t="s">
        <v>11</v>
      </c>
      <c r="Q2" s="147"/>
      <c r="R2" s="147"/>
      <c r="S2" s="147"/>
      <c r="T2" s="147"/>
      <c r="U2" s="147"/>
      <c r="V2" s="149"/>
      <c r="W2" s="148" t="s">
        <v>12</v>
      </c>
      <c r="X2" s="147"/>
      <c r="Y2" s="147"/>
      <c r="Z2" s="147"/>
      <c r="AA2" s="147"/>
      <c r="AB2" s="147"/>
      <c r="AC2" s="149"/>
      <c r="AD2" s="148" t="s">
        <v>13</v>
      </c>
      <c r="AE2" s="147"/>
      <c r="AF2" s="147"/>
      <c r="AG2" s="147"/>
      <c r="AH2" s="147"/>
      <c r="AI2" s="147"/>
      <c r="AJ2" s="149"/>
      <c r="AK2" s="8"/>
      <c r="AL2" s="8"/>
      <c r="AM2" s="139" t="s">
        <v>20</v>
      </c>
      <c r="AN2" s="141">
        <v>2023</v>
      </c>
      <c r="AO2" s="13"/>
      <c r="AQ2" s="7"/>
      <c r="AR2" s="7"/>
      <c r="AS2" s="7"/>
      <c r="AT2" s="7"/>
      <c r="AU2" s="7"/>
      <c r="AV2" s="7"/>
      <c r="AW2" s="7"/>
    </row>
    <row r="3" spans="1:49" ht="17" thickBot="1">
      <c r="A3" s="8"/>
      <c r="B3" s="14" t="s">
        <v>0</v>
      </c>
      <c r="C3" s="15" t="s">
        <v>1</v>
      </c>
      <c r="D3" s="15" t="s">
        <v>2</v>
      </c>
      <c r="E3" s="15" t="s">
        <v>3</v>
      </c>
      <c r="F3" s="15" t="s">
        <v>4</v>
      </c>
      <c r="G3" s="15" t="s">
        <v>5</v>
      </c>
      <c r="H3" s="16" t="s">
        <v>6</v>
      </c>
      <c r="I3" s="14" t="s">
        <v>0</v>
      </c>
      <c r="J3" s="15" t="s">
        <v>1</v>
      </c>
      <c r="K3" s="15" t="s">
        <v>2</v>
      </c>
      <c r="L3" s="15" t="s">
        <v>3</v>
      </c>
      <c r="M3" s="15" t="s">
        <v>4</v>
      </c>
      <c r="N3" s="15" t="s">
        <v>5</v>
      </c>
      <c r="O3" s="16" t="s">
        <v>6</v>
      </c>
      <c r="P3" s="14" t="s">
        <v>0</v>
      </c>
      <c r="Q3" s="15" t="s">
        <v>1</v>
      </c>
      <c r="R3" s="15" t="s">
        <v>2</v>
      </c>
      <c r="S3" s="15" t="s">
        <v>3</v>
      </c>
      <c r="T3" s="15" t="s">
        <v>4</v>
      </c>
      <c r="U3" s="15" t="s">
        <v>5</v>
      </c>
      <c r="V3" s="16" t="s">
        <v>6</v>
      </c>
      <c r="W3" s="14" t="s">
        <v>0</v>
      </c>
      <c r="X3" s="15" t="s">
        <v>1</v>
      </c>
      <c r="Y3" s="15" t="s">
        <v>2</v>
      </c>
      <c r="Z3" s="15" t="s">
        <v>3</v>
      </c>
      <c r="AA3" s="15" t="s">
        <v>4</v>
      </c>
      <c r="AB3" s="15" t="s">
        <v>5</v>
      </c>
      <c r="AC3" s="16" t="s">
        <v>6</v>
      </c>
      <c r="AD3" s="14" t="s">
        <v>0</v>
      </c>
      <c r="AE3" s="15" t="s">
        <v>1</v>
      </c>
      <c r="AF3" s="15" t="s">
        <v>2</v>
      </c>
      <c r="AG3" s="15" t="s">
        <v>3</v>
      </c>
      <c r="AH3" s="15" t="s">
        <v>4</v>
      </c>
      <c r="AI3" s="15" t="s">
        <v>5</v>
      </c>
      <c r="AJ3" s="16" t="s">
        <v>6</v>
      </c>
      <c r="AK3" s="8"/>
      <c r="AL3" s="8"/>
      <c r="AM3" s="140"/>
      <c r="AN3" s="142"/>
      <c r="AO3" s="17"/>
      <c r="AQ3" s="7"/>
      <c r="AR3" s="7"/>
      <c r="AS3" s="7"/>
      <c r="AT3" s="7"/>
      <c r="AU3" s="7"/>
      <c r="AV3" s="7"/>
      <c r="AW3" s="7"/>
    </row>
    <row r="4" spans="1:49" ht="17" thickBot="1">
      <c r="A4" s="8"/>
      <c r="B4" s="18"/>
      <c r="C4" s="19"/>
      <c r="D4" s="19"/>
      <c r="E4" s="19"/>
      <c r="F4" s="19"/>
      <c r="G4" s="19"/>
      <c r="H4" s="20"/>
      <c r="I4" s="18"/>
      <c r="J4" s="19"/>
      <c r="K4" s="19"/>
      <c r="L4" s="19"/>
      <c r="M4" s="19"/>
      <c r="N4" s="19"/>
      <c r="O4" s="20"/>
      <c r="P4" s="18"/>
      <c r="Q4" s="19"/>
      <c r="R4" s="19"/>
      <c r="S4" s="19"/>
      <c r="T4" s="19"/>
      <c r="U4" s="19"/>
      <c r="V4" s="20"/>
      <c r="W4" s="18"/>
      <c r="X4" s="19"/>
      <c r="Y4" s="19"/>
      <c r="Z4" s="19"/>
      <c r="AA4" s="19"/>
      <c r="AB4" s="19"/>
      <c r="AC4" s="20"/>
      <c r="AD4" s="18"/>
      <c r="AE4" s="19"/>
      <c r="AF4" s="19"/>
      <c r="AG4" s="19"/>
      <c r="AH4" s="19"/>
      <c r="AI4" s="19"/>
      <c r="AJ4" s="20"/>
      <c r="AK4" s="8"/>
      <c r="AL4" s="8"/>
      <c r="AM4" s="21"/>
      <c r="AN4" s="21"/>
      <c r="AQ4" s="7"/>
      <c r="AR4" s="7"/>
      <c r="AS4" s="7"/>
      <c r="AT4" s="7"/>
      <c r="AU4" s="7"/>
      <c r="AV4" s="7"/>
      <c r="AW4" s="7"/>
    </row>
    <row r="5" spans="1:49" ht="18">
      <c r="A5" s="8"/>
      <c r="B5" s="22"/>
      <c r="C5" s="4" t="s">
        <v>14</v>
      </c>
      <c r="D5" s="4"/>
      <c r="E5" s="3"/>
      <c r="F5" s="23"/>
      <c r="G5" s="3"/>
      <c r="H5" s="24"/>
      <c r="I5" s="22"/>
      <c r="J5" s="5" t="s">
        <v>15</v>
      </c>
      <c r="K5" s="6"/>
      <c r="L5" s="25"/>
      <c r="M5" s="25"/>
      <c r="N5" s="25"/>
      <c r="O5" s="24"/>
      <c r="P5" s="22"/>
      <c r="Q5" s="5" t="s">
        <v>17</v>
      </c>
      <c r="R5" s="6"/>
      <c r="S5" s="25"/>
      <c r="T5" s="25"/>
      <c r="U5" s="25"/>
      <c r="V5" s="24"/>
      <c r="W5" s="22"/>
      <c r="X5" s="25"/>
      <c r="Y5" s="25"/>
      <c r="Z5" s="25"/>
      <c r="AA5" s="25"/>
      <c r="AB5" s="25"/>
      <c r="AC5" s="24"/>
      <c r="AD5" s="22"/>
      <c r="AE5" s="5" t="s">
        <v>19</v>
      </c>
      <c r="AF5" s="6"/>
      <c r="AG5" s="25"/>
      <c r="AH5" s="25"/>
      <c r="AI5" s="25"/>
      <c r="AJ5" s="24"/>
      <c r="AK5" s="8"/>
      <c r="AL5" s="8"/>
      <c r="AM5" s="139" t="s">
        <v>21</v>
      </c>
      <c r="AN5" s="141">
        <v>6</v>
      </c>
      <c r="AO5" s="13"/>
      <c r="AQ5" s="7"/>
      <c r="AR5" s="7"/>
      <c r="AS5" s="7"/>
      <c r="AT5" s="7"/>
      <c r="AU5" s="7"/>
      <c r="AV5" s="7"/>
      <c r="AW5" s="7"/>
    </row>
    <row r="6" spans="1:49" ht="17" thickBot="1">
      <c r="A6" s="8"/>
      <c r="B6" s="22"/>
      <c r="C6" s="4" t="s">
        <v>26</v>
      </c>
      <c r="D6" s="4"/>
      <c r="E6" s="3"/>
      <c r="F6" s="23"/>
      <c r="G6" s="3"/>
      <c r="H6" s="24"/>
      <c r="I6" s="22"/>
      <c r="J6" s="6" t="s">
        <v>16</v>
      </c>
      <c r="K6" s="6"/>
      <c r="L6" s="25"/>
      <c r="M6" s="25"/>
      <c r="N6" s="25"/>
      <c r="O6" s="24"/>
      <c r="P6" s="22"/>
      <c r="Q6" s="6" t="s">
        <v>18</v>
      </c>
      <c r="R6" s="6"/>
      <c r="S6" s="25"/>
      <c r="T6" s="25"/>
      <c r="U6" s="25"/>
      <c r="V6" s="24"/>
      <c r="W6" s="22"/>
      <c r="X6" s="25"/>
      <c r="Y6" s="25"/>
      <c r="Z6" s="25"/>
      <c r="AA6" s="25"/>
      <c r="AB6" s="25"/>
      <c r="AC6" s="24"/>
      <c r="AD6" s="22"/>
      <c r="AE6" s="6" t="s">
        <v>16</v>
      </c>
      <c r="AF6" s="6"/>
      <c r="AG6" s="25"/>
      <c r="AH6" s="25"/>
      <c r="AI6" s="25"/>
      <c r="AJ6" s="24"/>
      <c r="AK6" s="8"/>
      <c r="AL6" s="8"/>
      <c r="AM6" s="140"/>
      <c r="AN6" s="142"/>
      <c r="AO6" s="17"/>
      <c r="AQ6" s="7"/>
      <c r="AR6" s="7"/>
      <c r="AS6" s="7"/>
      <c r="AT6" s="7"/>
      <c r="AU6" s="7"/>
      <c r="AV6" s="7"/>
      <c r="AW6" s="7"/>
    </row>
    <row r="7" spans="1:49" ht="17" thickBot="1">
      <c r="A7" s="8"/>
      <c r="B7" s="26"/>
      <c r="C7" s="27"/>
      <c r="D7" s="27"/>
      <c r="E7" s="27"/>
      <c r="F7" s="27"/>
      <c r="G7" s="27"/>
      <c r="H7" s="28"/>
      <c r="I7" s="26"/>
      <c r="J7" s="27"/>
      <c r="K7" s="27"/>
      <c r="L7" s="27"/>
      <c r="M7" s="27"/>
      <c r="N7" s="27"/>
      <c r="O7" s="28"/>
      <c r="P7" s="26"/>
      <c r="Q7" s="27"/>
      <c r="R7" s="27"/>
      <c r="S7" s="27"/>
      <c r="T7" s="27"/>
      <c r="U7" s="27"/>
      <c r="V7" s="28"/>
      <c r="W7" s="26"/>
      <c r="X7" s="27"/>
      <c r="Y7" s="27"/>
      <c r="Z7" s="27"/>
      <c r="AA7" s="27"/>
      <c r="AB7" s="27"/>
      <c r="AC7" s="28"/>
      <c r="AD7" s="26"/>
      <c r="AE7" s="27"/>
      <c r="AF7" s="27"/>
      <c r="AG7" s="27"/>
      <c r="AH7" s="27"/>
      <c r="AI7" s="27"/>
      <c r="AJ7" s="28"/>
      <c r="AK7" s="8"/>
      <c r="AL7" s="8"/>
      <c r="AQ7" s="7"/>
      <c r="AR7" s="7"/>
      <c r="AS7" s="7"/>
      <c r="AT7" s="7"/>
      <c r="AU7" s="7"/>
      <c r="AV7" s="7"/>
      <c r="AW7" s="7"/>
    </row>
    <row r="8" spans="1:49" ht="21" customHeight="1">
      <c r="A8" s="8"/>
      <c r="B8" s="143" t="str">
        <f>IFERROR(VLOOKUP($H$8,HOLIDAYS!$B$2:$D$22,3,FALSE),"")</f>
        <v/>
      </c>
      <c r="C8" s="144"/>
      <c r="D8" s="144"/>
      <c r="E8" s="144"/>
      <c r="F8" s="144"/>
      <c r="G8" s="144"/>
      <c r="H8" s="29">
        <f>DATE(AN2,AN5,1)-WEEKDAY(DATE(AN2,AN5,1),2)+1</f>
        <v>45075</v>
      </c>
      <c r="I8" s="143" t="str">
        <f>IFERROR(VLOOKUP($O$8,HOLIDAYS!$B$2:$D$22,3,FALSE),"")</f>
        <v/>
      </c>
      <c r="J8" s="144"/>
      <c r="K8" s="144"/>
      <c r="L8" s="144"/>
      <c r="M8" s="144"/>
      <c r="N8" s="144"/>
      <c r="O8" s="30">
        <f>DATE(AN2,AN5,1)-WEEKDAY(DATE(AN2,AN5,1),2)+2</f>
        <v>45076</v>
      </c>
      <c r="P8" s="137" t="str">
        <f>IFERROR(VLOOKUP($V$8,HOLIDAYS!$B$2:$D$22,3,FALSE),"")</f>
        <v/>
      </c>
      <c r="Q8" s="138"/>
      <c r="R8" s="138"/>
      <c r="S8" s="138"/>
      <c r="T8" s="138"/>
      <c r="U8" s="138"/>
      <c r="V8" s="30">
        <f>DATE(AN2,AN5,1)-WEEKDAY(DATE(AN2,AN5,1),2)+3</f>
        <v>45077</v>
      </c>
      <c r="W8" s="137" t="str">
        <f>IFERROR(VLOOKUP($AC$8,HOLIDAYS!$B$2:$D$22,3,FALSE),"")</f>
        <v/>
      </c>
      <c r="X8" s="138"/>
      <c r="Y8" s="138"/>
      <c r="Z8" s="138"/>
      <c r="AA8" s="138"/>
      <c r="AB8" s="138"/>
      <c r="AC8" s="30">
        <f>DATE(AN2,AN5,1)-WEEKDAY(DATE(AN2,AN5,1),2)+4</f>
        <v>45078</v>
      </c>
      <c r="AD8" s="137" t="str">
        <f>IFERROR(VLOOKUP($AJ$8,HOLIDAYS!$B$2:$D$22,3,FALSE),"")</f>
        <v>Vesak Day</v>
      </c>
      <c r="AE8" s="138"/>
      <c r="AF8" s="138"/>
      <c r="AG8" s="138"/>
      <c r="AH8" s="138"/>
      <c r="AI8" s="138"/>
      <c r="AJ8" s="30">
        <f>DATE(AN2,AN5,1)-WEEKDAY(DATE(AN2,AN5,1),2)+5</f>
        <v>45079</v>
      </c>
      <c r="AK8" s="8"/>
      <c r="AL8" s="8"/>
    </row>
    <row r="9" spans="1:49">
      <c r="A9" s="8"/>
      <c r="B9" s="31"/>
      <c r="C9" s="32"/>
      <c r="D9" s="33"/>
      <c r="E9" s="32" t="s">
        <v>8</v>
      </c>
      <c r="F9" s="34"/>
      <c r="G9" s="34"/>
      <c r="H9" s="35"/>
      <c r="I9" s="36"/>
      <c r="J9" s="37"/>
      <c r="K9" s="38"/>
      <c r="L9" s="37" t="s">
        <v>8</v>
      </c>
      <c r="M9" s="39"/>
      <c r="N9" s="39"/>
      <c r="O9" s="40"/>
      <c r="P9" s="36"/>
      <c r="Q9" s="37"/>
      <c r="R9" s="38"/>
      <c r="S9" s="37" t="s">
        <v>8</v>
      </c>
      <c r="T9" s="39"/>
      <c r="U9" s="39"/>
      <c r="V9" s="40"/>
      <c r="W9" s="36"/>
      <c r="X9" s="37"/>
      <c r="Y9" s="38"/>
      <c r="Z9" s="37" t="s">
        <v>8</v>
      </c>
      <c r="AA9" s="39"/>
      <c r="AB9" s="39"/>
      <c r="AC9" s="40"/>
      <c r="AD9" s="36"/>
      <c r="AE9" s="37"/>
      <c r="AF9" s="38"/>
      <c r="AG9" s="37" t="s">
        <v>8</v>
      </c>
      <c r="AH9" s="39"/>
      <c r="AI9" s="39"/>
      <c r="AJ9" s="40"/>
      <c r="AK9" s="65"/>
      <c r="AL9" s="8"/>
      <c r="AM9" s="7"/>
      <c r="AN9" s="7"/>
      <c r="AO9" s="7"/>
      <c r="AP9" s="7"/>
      <c r="AQ9" s="7"/>
    </row>
    <row r="10" spans="1:49">
      <c r="A10" s="8"/>
      <c r="B10" s="36"/>
      <c r="C10" s="37"/>
      <c r="D10" s="38"/>
      <c r="E10" s="37"/>
      <c r="F10" s="39"/>
      <c r="G10" s="39"/>
      <c r="H10" s="40"/>
      <c r="I10" s="36"/>
      <c r="J10" s="37"/>
      <c r="K10" s="38"/>
      <c r="L10" s="37"/>
      <c r="M10" s="39"/>
      <c r="N10" s="39"/>
      <c r="O10" s="40"/>
      <c r="P10" s="36"/>
      <c r="Q10" s="37"/>
      <c r="R10" s="38"/>
      <c r="S10" s="37"/>
      <c r="T10" s="39"/>
      <c r="U10" s="39"/>
      <c r="V10" s="40"/>
      <c r="W10" s="36"/>
      <c r="X10" s="37"/>
      <c r="Y10" s="38"/>
      <c r="Z10" s="37"/>
      <c r="AA10" s="39"/>
      <c r="AB10" s="39"/>
      <c r="AC10" s="40"/>
      <c r="AD10" s="36"/>
      <c r="AE10" s="37"/>
      <c r="AF10" s="38"/>
      <c r="AG10" s="37"/>
      <c r="AH10" s="39"/>
      <c r="AI10" s="39"/>
      <c r="AJ10" s="40"/>
      <c r="AK10" s="65"/>
      <c r="AL10" s="8"/>
      <c r="AM10" s="7"/>
      <c r="AN10" s="7"/>
      <c r="AO10" s="7"/>
      <c r="AP10" s="7"/>
      <c r="AQ10" s="7"/>
    </row>
    <row r="11" spans="1:49">
      <c r="A11" s="8"/>
      <c r="B11" s="36"/>
      <c r="C11" s="37"/>
      <c r="D11" s="38"/>
      <c r="E11" s="37"/>
      <c r="F11" s="39"/>
      <c r="G11" s="39"/>
      <c r="H11" s="40"/>
      <c r="I11" s="36"/>
      <c r="J11" s="37"/>
      <c r="K11" s="38"/>
      <c r="L11" s="37"/>
      <c r="M11" s="39"/>
      <c r="N11" s="39"/>
      <c r="O11" s="40"/>
      <c r="P11" s="36"/>
      <c r="Q11" s="37"/>
      <c r="R11" s="38"/>
      <c r="S11" s="37"/>
      <c r="T11" s="39"/>
      <c r="U11" s="39"/>
      <c r="V11" s="40"/>
      <c r="W11" s="36"/>
      <c r="X11" s="37"/>
      <c r="Y11" s="38"/>
      <c r="Z11" s="37"/>
      <c r="AA11" s="39"/>
      <c r="AB11" s="39"/>
      <c r="AC11" s="40"/>
      <c r="AD11" s="36"/>
      <c r="AE11" s="37"/>
      <c r="AF11" s="38"/>
      <c r="AG11" s="37"/>
      <c r="AH11" s="39"/>
      <c r="AI11" s="39"/>
      <c r="AJ11" s="40"/>
      <c r="AK11" s="65"/>
      <c r="AL11" s="8"/>
      <c r="AM11" s="7"/>
      <c r="AN11" s="7"/>
      <c r="AO11" s="7"/>
      <c r="AP11" s="7"/>
      <c r="AQ11" s="7"/>
    </row>
    <row r="12" spans="1:49">
      <c r="A12" s="8"/>
      <c r="B12" s="36"/>
      <c r="C12" s="37"/>
      <c r="D12" s="38"/>
      <c r="E12" s="37"/>
      <c r="F12" s="39"/>
      <c r="G12" s="39"/>
      <c r="H12" s="40"/>
      <c r="I12" s="36"/>
      <c r="J12" s="37"/>
      <c r="K12" s="38"/>
      <c r="L12" s="37"/>
      <c r="M12" s="39"/>
      <c r="N12" s="39"/>
      <c r="O12" s="40"/>
      <c r="P12" s="36"/>
      <c r="Q12" s="37"/>
      <c r="R12" s="38"/>
      <c r="S12" s="37"/>
      <c r="T12" s="39"/>
      <c r="U12" s="39"/>
      <c r="V12" s="40"/>
      <c r="W12" s="36"/>
      <c r="X12" s="37"/>
      <c r="Y12" s="38"/>
      <c r="Z12" s="37"/>
      <c r="AA12" s="39"/>
      <c r="AB12" s="39"/>
      <c r="AC12" s="40"/>
      <c r="AD12" s="36"/>
      <c r="AE12" s="37"/>
      <c r="AF12" s="38"/>
      <c r="AG12" s="37"/>
      <c r="AH12" s="39"/>
      <c r="AI12" s="39"/>
      <c r="AJ12" s="40"/>
      <c r="AK12" s="65"/>
      <c r="AL12" s="8"/>
      <c r="AM12" s="7"/>
      <c r="AN12" s="7"/>
      <c r="AO12" s="7"/>
      <c r="AP12" s="7"/>
      <c r="AQ12" s="7"/>
    </row>
    <row r="13" spans="1:49">
      <c r="A13" s="8"/>
      <c r="B13" s="36"/>
      <c r="C13" s="37"/>
      <c r="D13" s="38"/>
      <c r="E13" s="37"/>
      <c r="F13" s="39"/>
      <c r="G13" s="39"/>
      <c r="H13" s="40"/>
      <c r="I13" s="36"/>
      <c r="J13" s="37"/>
      <c r="K13" s="38"/>
      <c r="L13" s="37"/>
      <c r="M13" s="39"/>
      <c r="N13" s="39"/>
      <c r="O13" s="40"/>
      <c r="P13" s="36"/>
      <c r="Q13" s="37"/>
      <c r="R13" s="38"/>
      <c r="S13" s="37"/>
      <c r="T13" s="39"/>
      <c r="U13" s="39"/>
      <c r="V13" s="40"/>
      <c r="W13" s="36"/>
      <c r="X13" s="37"/>
      <c r="Y13" s="38"/>
      <c r="Z13" s="37"/>
      <c r="AA13" s="39"/>
      <c r="AB13" s="39"/>
      <c r="AC13" s="40"/>
      <c r="AD13" s="36"/>
      <c r="AE13" s="37"/>
      <c r="AF13" s="38"/>
      <c r="AG13" s="37"/>
      <c r="AH13" s="39"/>
      <c r="AI13" s="39"/>
      <c r="AJ13" s="40"/>
      <c r="AK13" s="65"/>
      <c r="AL13" s="8"/>
      <c r="AM13" s="7"/>
      <c r="AN13" s="7"/>
      <c r="AO13" s="7"/>
      <c r="AP13" s="7"/>
      <c r="AQ13" s="7"/>
    </row>
    <row r="14" spans="1:49">
      <c r="A14" s="8"/>
      <c r="B14" s="36"/>
      <c r="C14" s="37"/>
      <c r="D14" s="38"/>
      <c r="E14" s="37" t="s">
        <v>9</v>
      </c>
      <c r="F14" s="39"/>
      <c r="G14" s="39"/>
      <c r="H14" s="40"/>
      <c r="I14" s="36"/>
      <c r="J14" s="37"/>
      <c r="K14" s="38"/>
      <c r="L14" s="37" t="s">
        <v>9</v>
      </c>
      <c r="M14" s="39"/>
      <c r="N14" s="39"/>
      <c r="O14" s="40"/>
      <c r="P14" s="36"/>
      <c r="Q14" s="37"/>
      <c r="R14" s="38"/>
      <c r="S14" s="37" t="s">
        <v>9</v>
      </c>
      <c r="T14" s="39"/>
      <c r="U14" s="39"/>
      <c r="V14" s="40"/>
      <c r="W14" s="36"/>
      <c r="X14" s="37"/>
      <c r="Y14" s="38"/>
      <c r="Z14" s="37" t="s">
        <v>9</v>
      </c>
      <c r="AA14" s="39"/>
      <c r="AB14" s="39"/>
      <c r="AC14" s="40"/>
      <c r="AD14" s="36"/>
      <c r="AE14" s="37"/>
      <c r="AF14" s="38"/>
      <c r="AG14" s="37" t="s">
        <v>9</v>
      </c>
      <c r="AH14" s="39"/>
      <c r="AI14" s="39"/>
      <c r="AJ14" s="40"/>
      <c r="AK14" s="65"/>
      <c r="AL14" s="8"/>
      <c r="AM14" s="7"/>
      <c r="AN14" s="7"/>
      <c r="AO14" s="7"/>
      <c r="AP14" s="7"/>
      <c r="AQ14" s="7"/>
    </row>
    <row r="15" spans="1:49">
      <c r="A15" s="8"/>
      <c r="B15" s="36"/>
      <c r="C15" s="37"/>
      <c r="D15" s="38"/>
      <c r="E15" s="37"/>
      <c r="F15" s="39"/>
      <c r="G15" s="39"/>
      <c r="H15" s="40"/>
      <c r="I15" s="36"/>
      <c r="J15" s="37"/>
      <c r="K15" s="38"/>
      <c r="L15" s="37"/>
      <c r="M15" s="39"/>
      <c r="N15" s="39"/>
      <c r="O15" s="40"/>
      <c r="P15" s="36"/>
      <c r="Q15" s="37"/>
      <c r="R15" s="38"/>
      <c r="S15" s="37"/>
      <c r="T15" s="39"/>
      <c r="U15" s="39"/>
      <c r="V15" s="40"/>
      <c r="W15" s="36"/>
      <c r="X15" s="37"/>
      <c r="Y15" s="38"/>
      <c r="Z15" s="37"/>
      <c r="AA15" s="39"/>
      <c r="AB15" s="39"/>
      <c r="AC15" s="40"/>
      <c r="AD15" s="36"/>
      <c r="AE15" s="37"/>
      <c r="AF15" s="38"/>
      <c r="AG15" s="37"/>
      <c r="AH15" s="39"/>
      <c r="AI15" s="39"/>
      <c r="AJ15" s="40"/>
      <c r="AK15" s="8"/>
      <c r="AL15" s="8"/>
    </row>
    <row r="16" spans="1:49">
      <c r="A16" s="8"/>
      <c r="B16" s="36"/>
      <c r="C16" s="37"/>
      <c r="D16" s="38"/>
      <c r="E16" s="37"/>
      <c r="F16" s="39"/>
      <c r="G16" s="39"/>
      <c r="H16" s="40"/>
      <c r="I16" s="36"/>
      <c r="J16" s="37"/>
      <c r="K16" s="38"/>
      <c r="L16" s="37"/>
      <c r="M16" s="39"/>
      <c r="N16" s="39"/>
      <c r="O16" s="40"/>
      <c r="P16" s="36"/>
      <c r="Q16" s="37"/>
      <c r="R16" s="38"/>
      <c r="S16" s="37"/>
      <c r="T16" s="39"/>
      <c r="U16" s="39"/>
      <c r="V16" s="40"/>
      <c r="W16" s="36"/>
      <c r="X16" s="37"/>
      <c r="Y16" s="38"/>
      <c r="Z16" s="37"/>
      <c r="AA16" s="39"/>
      <c r="AB16" s="39"/>
      <c r="AC16" s="40"/>
      <c r="AD16" s="36"/>
      <c r="AE16" s="37"/>
      <c r="AF16" s="38"/>
      <c r="AG16" s="37"/>
      <c r="AH16" s="39"/>
      <c r="AI16" s="39"/>
      <c r="AJ16" s="40"/>
      <c r="AK16" s="8"/>
      <c r="AL16" s="8"/>
    </row>
    <row r="17" spans="1:38">
      <c r="A17" s="8"/>
      <c r="B17" s="36"/>
      <c r="C17" s="37"/>
      <c r="D17" s="38"/>
      <c r="E17" s="37"/>
      <c r="F17" s="39"/>
      <c r="G17" s="39"/>
      <c r="H17" s="40"/>
      <c r="I17" s="36"/>
      <c r="J17" s="37"/>
      <c r="K17" s="38"/>
      <c r="L17" s="37"/>
      <c r="M17" s="39"/>
      <c r="N17" s="39"/>
      <c r="O17" s="40"/>
      <c r="P17" s="36"/>
      <c r="Q17" s="37"/>
      <c r="R17" s="38"/>
      <c r="S17" s="37"/>
      <c r="T17" s="39"/>
      <c r="U17" s="39"/>
      <c r="V17" s="40"/>
      <c r="W17" s="36"/>
      <c r="X17" s="37"/>
      <c r="Y17" s="38"/>
      <c r="Z17" s="37"/>
      <c r="AA17" s="39"/>
      <c r="AB17" s="39"/>
      <c r="AC17" s="40"/>
      <c r="AD17" s="36"/>
      <c r="AE17" s="37"/>
      <c r="AF17" s="38"/>
      <c r="AG17" s="37"/>
      <c r="AH17" s="39"/>
      <c r="AI17" s="39"/>
      <c r="AJ17" s="40"/>
      <c r="AK17" s="8"/>
      <c r="AL17" s="8"/>
    </row>
    <row r="18" spans="1:38">
      <c r="A18" s="8"/>
      <c r="B18" s="36"/>
      <c r="C18" s="37"/>
      <c r="D18" s="38"/>
      <c r="E18" s="37"/>
      <c r="F18" s="39"/>
      <c r="G18" s="39"/>
      <c r="H18" s="40"/>
      <c r="I18" s="36"/>
      <c r="J18" s="37"/>
      <c r="K18" s="38"/>
      <c r="L18" s="37"/>
      <c r="M18" s="39"/>
      <c r="N18" s="39"/>
      <c r="O18" s="40"/>
      <c r="P18" s="36"/>
      <c r="Q18" s="37"/>
      <c r="R18" s="38"/>
      <c r="S18" s="37"/>
      <c r="T18" s="39"/>
      <c r="U18" s="39"/>
      <c r="V18" s="40"/>
      <c r="W18" s="36"/>
      <c r="X18" s="37"/>
      <c r="Y18" s="38"/>
      <c r="Z18" s="37"/>
      <c r="AA18" s="39"/>
      <c r="AB18" s="39"/>
      <c r="AC18" s="40"/>
      <c r="AD18" s="36"/>
      <c r="AE18" s="37"/>
      <c r="AF18" s="38"/>
      <c r="AG18" s="37"/>
      <c r="AH18" s="39"/>
      <c r="AI18" s="39"/>
      <c r="AJ18" s="40"/>
      <c r="AK18" s="8"/>
      <c r="AL18" s="8"/>
    </row>
    <row r="19" spans="1:38" ht="17" thickBot="1">
      <c r="A19" s="8"/>
      <c r="B19" s="41"/>
      <c r="C19" s="42"/>
      <c r="D19" s="43"/>
      <c r="E19" s="42"/>
      <c r="F19" s="44"/>
      <c r="G19" s="44"/>
      <c r="H19" s="45"/>
      <c r="I19" s="41"/>
      <c r="J19" s="42"/>
      <c r="K19" s="43"/>
      <c r="L19" s="42"/>
      <c r="M19" s="44"/>
      <c r="N19" s="44"/>
      <c r="O19" s="45"/>
      <c r="P19" s="41"/>
      <c r="Q19" s="42"/>
      <c r="R19" s="43"/>
      <c r="S19" s="42"/>
      <c r="T19" s="44"/>
      <c r="U19" s="44"/>
      <c r="V19" s="45"/>
      <c r="W19" s="41"/>
      <c r="X19" s="42"/>
      <c r="Y19" s="43"/>
      <c r="Z19" s="42"/>
      <c r="AA19" s="44"/>
      <c r="AB19" s="44"/>
      <c r="AC19" s="45"/>
      <c r="AD19" s="41"/>
      <c r="AE19" s="42"/>
      <c r="AF19" s="43"/>
      <c r="AG19" s="42"/>
      <c r="AH19" s="44"/>
      <c r="AI19" s="44"/>
      <c r="AJ19" s="45"/>
      <c r="AK19" s="8"/>
      <c r="AL19" s="8"/>
    </row>
    <row r="20" spans="1:38" ht="18.75" customHeight="1">
      <c r="A20" s="8"/>
      <c r="B20" s="137" t="str">
        <f>IFERROR(VLOOKUP($H$20,HOLIDAYS!$B$2:$D$22,3,FALSE),"")</f>
        <v/>
      </c>
      <c r="C20" s="138"/>
      <c r="D20" s="138"/>
      <c r="E20" s="138"/>
      <c r="F20" s="138"/>
      <c r="G20" s="138"/>
      <c r="H20" s="30">
        <f>DATE(AN2,AN5,1)-WEEKDAY(DATE(AN2,AN5,1),2)+8</f>
        <v>45082</v>
      </c>
      <c r="I20" s="137" t="str">
        <f>IFERROR(VLOOKUP($O$20,HOLIDAYS!$B$2:$D$22,3,FALSE),"")</f>
        <v/>
      </c>
      <c r="J20" s="138"/>
      <c r="K20" s="138"/>
      <c r="L20" s="138"/>
      <c r="M20" s="138"/>
      <c r="N20" s="138"/>
      <c r="O20" s="30">
        <f>DATE(AN2,AN5,1)-WEEKDAY(DATE(AN2,AN5,1),2)+9</f>
        <v>45083</v>
      </c>
      <c r="P20" s="137" t="str">
        <f>IFERROR(VLOOKUP($V$20,HOLIDAYS!$B$2:$D$22,3,FALSE),"")</f>
        <v/>
      </c>
      <c r="Q20" s="138"/>
      <c r="R20" s="138"/>
      <c r="S20" s="138"/>
      <c r="T20" s="138"/>
      <c r="U20" s="138"/>
      <c r="V20" s="30">
        <f>DATE(AN2,AN5,1)-WEEKDAY(DATE(AN2,AN5,1),2)+10</f>
        <v>45084</v>
      </c>
      <c r="W20" s="137" t="str">
        <f>IFERROR(VLOOKUP($AC$20,HOLIDAYS!$B$2:$D$22,3,FALSE),"")</f>
        <v/>
      </c>
      <c r="X20" s="138"/>
      <c r="Y20" s="138"/>
      <c r="Z20" s="138"/>
      <c r="AA20" s="138"/>
      <c r="AB20" s="138"/>
      <c r="AC20" s="30">
        <f>DATE(AN2,AN5,1)-WEEKDAY(DATE(AN2,AN5,1),2)+11</f>
        <v>45085</v>
      </c>
      <c r="AD20" s="137" t="str">
        <f>IFERROR(VLOOKUP($AJ$20,HOLIDAYS!$B$2:$D$22,3,FALSE),"")</f>
        <v/>
      </c>
      <c r="AE20" s="138"/>
      <c r="AF20" s="138"/>
      <c r="AG20" s="138"/>
      <c r="AH20" s="138"/>
      <c r="AI20" s="138"/>
      <c r="AJ20" s="30">
        <f>DATE(AN2,AN5,1)-WEEKDAY(DATE(AN2,AN5,1),2)+12</f>
        <v>45086</v>
      </c>
      <c r="AK20" s="8"/>
      <c r="AL20" s="8"/>
    </row>
    <row r="21" spans="1:38">
      <c r="A21" s="8"/>
      <c r="B21" s="36"/>
      <c r="C21" s="37"/>
      <c r="D21" s="38"/>
      <c r="E21" s="37" t="s">
        <v>8</v>
      </c>
      <c r="F21" s="39"/>
      <c r="G21" s="39"/>
      <c r="H21" s="40"/>
      <c r="I21" s="36"/>
      <c r="J21" s="37"/>
      <c r="K21" s="38"/>
      <c r="L21" s="37" t="s">
        <v>8</v>
      </c>
      <c r="M21" s="39"/>
      <c r="N21" s="39"/>
      <c r="O21" s="40"/>
      <c r="P21" s="36"/>
      <c r="Q21" s="37"/>
      <c r="R21" s="38"/>
      <c r="S21" s="37" t="s">
        <v>8</v>
      </c>
      <c r="T21" s="39"/>
      <c r="U21" s="39"/>
      <c r="V21" s="40"/>
      <c r="W21" s="36"/>
      <c r="X21" s="37"/>
      <c r="Y21" s="38"/>
      <c r="Z21" s="37" t="s">
        <v>8</v>
      </c>
      <c r="AA21" s="39"/>
      <c r="AB21" s="39"/>
      <c r="AC21" s="40"/>
      <c r="AD21" s="36"/>
      <c r="AE21" s="37"/>
      <c r="AF21" s="38"/>
      <c r="AG21" s="37" t="s">
        <v>8</v>
      </c>
      <c r="AH21" s="39"/>
      <c r="AI21" s="39"/>
      <c r="AJ21" s="40"/>
      <c r="AK21" s="8"/>
      <c r="AL21" s="8"/>
    </row>
    <row r="22" spans="1:38">
      <c r="A22" s="8"/>
      <c r="B22" s="36"/>
      <c r="C22" s="37"/>
      <c r="D22" s="38"/>
      <c r="E22" s="37"/>
      <c r="F22" s="39"/>
      <c r="G22" s="39"/>
      <c r="H22" s="40"/>
      <c r="I22" s="36"/>
      <c r="J22" s="37"/>
      <c r="K22" s="38"/>
      <c r="L22" s="37"/>
      <c r="M22" s="39"/>
      <c r="N22" s="39"/>
      <c r="O22" s="40"/>
      <c r="P22" s="36"/>
      <c r="Q22" s="37"/>
      <c r="R22" s="38"/>
      <c r="S22" s="37"/>
      <c r="T22" s="39"/>
      <c r="U22" s="39"/>
      <c r="V22" s="40"/>
      <c r="W22" s="36"/>
      <c r="X22" s="37"/>
      <c r="Y22" s="38"/>
      <c r="Z22" s="37"/>
      <c r="AA22" s="39"/>
      <c r="AB22" s="39"/>
      <c r="AC22" s="40"/>
      <c r="AD22" s="36"/>
      <c r="AE22" s="37"/>
      <c r="AF22" s="38"/>
      <c r="AG22" s="37"/>
      <c r="AH22" s="39"/>
      <c r="AI22" s="39"/>
      <c r="AJ22" s="40"/>
      <c r="AK22" s="8"/>
      <c r="AL22" s="8"/>
    </row>
    <row r="23" spans="1:38">
      <c r="A23" s="8"/>
      <c r="B23" s="36"/>
      <c r="C23" s="37"/>
      <c r="D23" s="38"/>
      <c r="E23" s="37"/>
      <c r="F23" s="39"/>
      <c r="G23" s="39"/>
      <c r="H23" s="40"/>
      <c r="I23" s="36"/>
      <c r="J23" s="37"/>
      <c r="K23" s="38"/>
      <c r="L23" s="37"/>
      <c r="M23" s="39"/>
      <c r="N23" s="39"/>
      <c r="O23" s="40"/>
      <c r="P23" s="36"/>
      <c r="Q23" s="37"/>
      <c r="R23" s="38"/>
      <c r="S23" s="37"/>
      <c r="T23" s="39"/>
      <c r="U23" s="39"/>
      <c r="V23" s="40"/>
      <c r="W23" s="36"/>
      <c r="X23" s="37"/>
      <c r="Y23" s="38"/>
      <c r="Z23" s="37"/>
      <c r="AA23" s="39"/>
      <c r="AB23" s="39"/>
      <c r="AC23" s="40"/>
      <c r="AD23" s="36"/>
      <c r="AE23" s="37"/>
      <c r="AF23" s="38"/>
      <c r="AG23" s="37"/>
      <c r="AH23" s="39"/>
      <c r="AI23" s="39"/>
      <c r="AJ23" s="40"/>
      <c r="AK23" s="8"/>
      <c r="AL23" s="8"/>
    </row>
    <row r="24" spans="1:38">
      <c r="A24" s="8"/>
      <c r="B24" s="36"/>
      <c r="C24" s="37"/>
      <c r="D24" s="38"/>
      <c r="E24" s="37"/>
      <c r="F24" s="39"/>
      <c r="G24" s="39"/>
      <c r="H24" s="40"/>
      <c r="I24" s="36"/>
      <c r="J24" s="37"/>
      <c r="K24" s="38"/>
      <c r="L24" s="37"/>
      <c r="M24" s="39"/>
      <c r="N24" s="39"/>
      <c r="O24" s="40"/>
      <c r="P24" s="36"/>
      <c r="Q24" s="37"/>
      <c r="R24" s="38"/>
      <c r="S24" s="37"/>
      <c r="T24" s="39"/>
      <c r="U24" s="39"/>
      <c r="V24" s="40"/>
      <c r="W24" s="36"/>
      <c r="X24" s="37"/>
      <c r="Y24" s="38"/>
      <c r="Z24" s="37"/>
      <c r="AA24" s="39"/>
      <c r="AB24" s="39"/>
      <c r="AC24" s="40"/>
      <c r="AD24" s="36"/>
      <c r="AE24" s="37"/>
      <c r="AF24" s="38"/>
      <c r="AG24" s="37"/>
      <c r="AH24" s="39"/>
      <c r="AI24" s="39"/>
      <c r="AJ24" s="40"/>
      <c r="AK24" s="8"/>
      <c r="AL24" s="8"/>
    </row>
    <row r="25" spans="1:38">
      <c r="A25" s="8"/>
      <c r="B25" s="36"/>
      <c r="C25" s="37"/>
      <c r="D25" s="38"/>
      <c r="E25" s="37"/>
      <c r="F25" s="39"/>
      <c r="G25" s="39"/>
      <c r="H25" s="40"/>
      <c r="I25" s="36"/>
      <c r="J25" s="37"/>
      <c r="K25" s="38"/>
      <c r="L25" s="37"/>
      <c r="M25" s="39"/>
      <c r="N25" s="39"/>
      <c r="O25" s="40"/>
      <c r="P25" s="36"/>
      <c r="Q25" s="37"/>
      <c r="R25" s="38"/>
      <c r="S25" s="37"/>
      <c r="T25" s="39"/>
      <c r="U25" s="39"/>
      <c r="V25" s="40"/>
      <c r="W25" s="36"/>
      <c r="X25" s="37"/>
      <c r="Y25" s="38"/>
      <c r="Z25" s="37"/>
      <c r="AA25" s="39"/>
      <c r="AB25" s="39"/>
      <c r="AC25" s="40"/>
      <c r="AD25" s="36"/>
      <c r="AE25" s="37"/>
      <c r="AF25" s="38"/>
      <c r="AG25" s="37"/>
      <c r="AH25" s="39"/>
      <c r="AI25" s="39"/>
      <c r="AJ25" s="40"/>
      <c r="AK25" s="8"/>
      <c r="AL25" s="8"/>
    </row>
    <row r="26" spans="1:38">
      <c r="A26" s="8"/>
      <c r="B26" s="36"/>
      <c r="C26" s="37"/>
      <c r="D26" s="38"/>
      <c r="E26" s="37" t="s">
        <v>9</v>
      </c>
      <c r="F26" s="39"/>
      <c r="G26" s="39"/>
      <c r="H26" s="40"/>
      <c r="I26" s="36"/>
      <c r="J26" s="37"/>
      <c r="K26" s="38"/>
      <c r="L26" s="37" t="s">
        <v>9</v>
      </c>
      <c r="M26" s="39"/>
      <c r="N26" s="39"/>
      <c r="O26" s="40"/>
      <c r="P26" s="36"/>
      <c r="Q26" s="37"/>
      <c r="R26" s="38"/>
      <c r="S26" s="37" t="s">
        <v>9</v>
      </c>
      <c r="T26" s="39"/>
      <c r="U26" s="39"/>
      <c r="V26" s="40"/>
      <c r="W26" s="36"/>
      <c r="X26" s="37"/>
      <c r="Y26" s="38"/>
      <c r="Z26" s="37" t="s">
        <v>9</v>
      </c>
      <c r="AA26" s="39"/>
      <c r="AB26" s="39"/>
      <c r="AC26" s="40"/>
      <c r="AD26" s="36"/>
      <c r="AE26" s="37"/>
      <c r="AF26" s="38"/>
      <c r="AG26" s="37" t="s">
        <v>9</v>
      </c>
      <c r="AH26" s="39"/>
      <c r="AI26" s="39"/>
      <c r="AJ26" s="40"/>
      <c r="AK26" s="8"/>
      <c r="AL26" s="8"/>
    </row>
    <row r="27" spans="1:38">
      <c r="A27" s="8"/>
      <c r="B27" s="36"/>
      <c r="C27" s="37"/>
      <c r="D27" s="38"/>
      <c r="E27" s="37"/>
      <c r="F27" s="39"/>
      <c r="G27" s="39"/>
      <c r="H27" s="40"/>
      <c r="I27" s="36"/>
      <c r="J27" s="37"/>
      <c r="K27" s="38"/>
      <c r="L27" s="37"/>
      <c r="M27" s="39"/>
      <c r="N27" s="39"/>
      <c r="O27" s="40"/>
      <c r="P27" s="36"/>
      <c r="Q27" s="37"/>
      <c r="R27" s="38"/>
      <c r="S27" s="37"/>
      <c r="T27" s="39"/>
      <c r="U27" s="39"/>
      <c r="V27" s="40"/>
      <c r="W27" s="36"/>
      <c r="X27" s="37"/>
      <c r="Y27" s="38"/>
      <c r="Z27" s="37"/>
      <c r="AA27" s="39"/>
      <c r="AB27" s="39"/>
      <c r="AC27" s="40"/>
      <c r="AD27" s="36"/>
      <c r="AE27" s="37"/>
      <c r="AF27" s="38"/>
      <c r="AG27" s="37"/>
      <c r="AH27" s="39"/>
      <c r="AI27" s="39"/>
      <c r="AJ27" s="40"/>
      <c r="AK27" s="8"/>
      <c r="AL27" s="8"/>
    </row>
    <row r="28" spans="1:38">
      <c r="A28" s="8"/>
      <c r="B28" s="36"/>
      <c r="C28" s="37"/>
      <c r="D28" s="38"/>
      <c r="E28" s="37"/>
      <c r="F28" s="39"/>
      <c r="G28" s="39"/>
      <c r="H28" s="40"/>
      <c r="I28" s="36"/>
      <c r="J28" s="37"/>
      <c r="K28" s="38"/>
      <c r="L28" s="37"/>
      <c r="M28" s="39"/>
      <c r="N28" s="39"/>
      <c r="O28" s="40"/>
      <c r="P28" s="36"/>
      <c r="Q28" s="37"/>
      <c r="R28" s="38"/>
      <c r="S28" s="37"/>
      <c r="T28" s="39"/>
      <c r="U28" s="39"/>
      <c r="V28" s="40"/>
      <c r="W28" s="36"/>
      <c r="X28" s="37"/>
      <c r="Y28" s="38"/>
      <c r="Z28" s="37"/>
      <c r="AA28" s="39"/>
      <c r="AB28" s="39"/>
      <c r="AC28" s="40"/>
      <c r="AD28" s="36"/>
      <c r="AE28" s="37"/>
      <c r="AF28" s="38"/>
      <c r="AG28" s="37"/>
      <c r="AH28" s="39"/>
      <c r="AI28" s="39"/>
      <c r="AJ28" s="40"/>
      <c r="AK28" s="8"/>
      <c r="AL28" s="8"/>
    </row>
    <row r="29" spans="1:38">
      <c r="A29" s="8"/>
      <c r="B29" s="36"/>
      <c r="C29" s="37"/>
      <c r="D29" s="38"/>
      <c r="E29" s="37"/>
      <c r="F29" s="39"/>
      <c r="G29" s="39"/>
      <c r="H29" s="40"/>
      <c r="I29" s="36"/>
      <c r="J29" s="37"/>
      <c r="K29" s="38"/>
      <c r="L29" s="37"/>
      <c r="M29" s="39"/>
      <c r="N29" s="39"/>
      <c r="O29" s="40"/>
      <c r="P29" s="36"/>
      <c r="Q29" s="37"/>
      <c r="R29" s="38"/>
      <c r="S29" s="37"/>
      <c r="T29" s="39"/>
      <c r="U29" s="39"/>
      <c r="V29" s="40"/>
      <c r="W29" s="36"/>
      <c r="X29" s="37"/>
      <c r="Y29" s="38"/>
      <c r="Z29" s="37"/>
      <c r="AA29" s="39"/>
      <c r="AB29" s="39"/>
      <c r="AC29" s="40"/>
      <c r="AD29" s="36"/>
      <c r="AE29" s="37"/>
      <c r="AF29" s="38"/>
      <c r="AG29" s="37"/>
      <c r="AH29" s="39"/>
      <c r="AI29" s="39"/>
      <c r="AJ29" s="40"/>
      <c r="AK29" s="8"/>
      <c r="AL29" s="8"/>
    </row>
    <row r="30" spans="1:38">
      <c r="A30" s="8"/>
      <c r="B30" s="36"/>
      <c r="C30" s="37"/>
      <c r="D30" s="38"/>
      <c r="E30" s="37"/>
      <c r="F30" s="39"/>
      <c r="G30" s="39"/>
      <c r="H30" s="40"/>
      <c r="I30" s="36"/>
      <c r="J30" s="37"/>
      <c r="K30" s="38"/>
      <c r="L30" s="37"/>
      <c r="M30" s="39"/>
      <c r="N30" s="39"/>
      <c r="O30" s="40"/>
      <c r="P30" s="36"/>
      <c r="Q30" s="37"/>
      <c r="R30" s="38"/>
      <c r="S30" s="37"/>
      <c r="T30" s="39"/>
      <c r="U30" s="39"/>
      <c r="V30" s="40"/>
      <c r="W30" s="36"/>
      <c r="X30" s="37"/>
      <c r="Y30" s="38"/>
      <c r="Z30" s="37"/>
      <c r="AA30" s="39"/>
      <c r="AB30" s="39"/>
      <c r="AC30" s="40"/>
      <c r="AD30" s="36"/>
      <c r="AE30" s="37"/>
      <c r="AF30" s="38"/>
      <c r="AG30" s="37"/>
      <c r="AH30" s="39"/>
      <c r="AI30" s="39"/>
      <c r="AJ30" s="40"/>
      <c r="AK30" s="8"/>
      <c r="AL30" s="8"/>
    </row>
    <row r="31" spans="1:38" ht="17" thickBot="1">
      <c r="A31" s="8"/>
      <c r="B31" s="41"/>
      <c r="C31" s="42"/>
      <c r="D31" s="43"/>
      <c r="E31" s="42"/>
      <c r="F31" s="44"/>
      <c r="G31" s="44"/>
      <c r="H31" s="45"/>
      <c r="I31" s="41"/>
      <c r="J31" s="42"/>
      <c r="K31" s="43"/>
      <c r="L31" s="42"/>
      <c r="M31" s="44"/>
      <c r="N31" s="44"/>
      <c r="O31" s="45"/>
      <c r="P31" s="41"/>
      <c r="Q31" s="42"/>
      <c r="R31" s="43"/>
      <c r="S31" s="42"/>
      <c r="T31" s="44"/>
      <c r="U31" s="44"/>
      <c r="V31" s="45"/>
      <c r="W31" s="41"/>
      <c r="X31" s="42"/>
      <c r="Y31" s="43"/>
      <c r="Z31" s="42"/>
      <c r="AA31" s="44"/>
      <c r="AB31" s="44"/>
      <c r="AC31" s="45"/>
      <c r="AD31" s="41"/>
      <c r="AE31" s="42"/>
      <c r="AF31" s="43"/>
      <c r="AG31" s="42"/>
      <c r="AH31" s="44"/>
      <c r="AI31" s="44"/>
      <c r="AJ31" s="45"/>
      <c r="AK31" s="8"/>
      <c r="AL31" s="8"/>
    </row>
    <row r="32" spans="1:38">
      <c r="A32" s="8"/>
      <c r="B32" s="137" t="str">
        <f>IFERROR(VLOOKUP($H$32,HOLIDAYS!$B$2:$D$22,3,FALSE),"")</f>
        <v/>
      </c>
      <c r="C32" s="138"/>
      <c r="D32" s="138"/>
      <c r="E32" s="138"/>
      <c r="F32" s="138"/>
      <c r="G32" s="138"/>
      <c r="H32" s="30">
        <f>DATE(AN2,AN5,1)-WEEKDAY(DATE(AN2,AN5,1),2)+15</f>
        <v>45089</v>
      </c>
      <c r="I32" s="137" t="str">
        <f>IFERROR(VLOOKUP($O$32,HOLIDAYS!$B$2:$D$22,3,FALSE),"")</f>
        <v/>
      </c>
      <c r="J32" s="138"/>
      <c r="K32" s="138"/>
      <c r="L32" s="138"/>
      <c r="M32" s="138"/>
      <c r="N32" s="138"/>
      <c r="O32" s="30">
        <f>DATE(AN2,AN5,1)-WEEKDAY(DATE(AN2,AN5,1),2)+16</f>
        <v>45090</v>
      </c>
      <c r="P32" s="137" t="str">
        <f>IFERROR(VLOOKUP($V$32,HOLIDAYS!$B$2:$D$22,3,FALSE),"")</f>
        <v/>
      </c>
      <c r="Q32" s="138"/>
      <c r="R32" s="138"/>
      <c r="S32" s="138"/>
      <c r="T32" s="138"/>
      <c r="U32" s="138"/>
      <c r="V32" s="30">
        <f>DATE(AN2,AN5,1)-WEEKDAY(DATE(AN2,AN5,1),2)+17</f>
        <v>45091</v>
      </c>
      <c r="W32" s="137" t="str">
        <f>IFERROR(VLOOKUP($AC$32,HOLIDAYS!$B$2:$D$22,3,FALSE),"")</f>
        <v/>
      </c>
      <c r="X32" s="138"/>
      <c r="Y32" s="138"/>
      <c r="Z32" s="138"/>
      <c r="AA32" s="138"/>
      <c r="AB32" s="138"/>
      <c r="AC32" s="30">
        <f>DATE(AN2,AN5,1)-WEEKDAY(DATE(AN2,AN5,1),2)+18</f>
        <v>45092</v>
      </c>
      <c r="AD32" s="137" t="str">
        <f>IFERROR(VLOOKUP($AJ$32,HOLIDAYS!$B$2:$D$22,3,FALSE),"")</f>
        <v/>
      </c>
      <c r="AE32" s="138"/>
      <c r="AF32" s="138"/>
      <c r="AG32" s="138"/>
      <c r="AH32" s="138"/>
      <c r="AI32" s="138"/>
      <c r="AJ32" s="30">
        <f>DATE(AN2,AN5,1)-WEEKDAY(DATE(AN2,AN5,1),2)+19</f>
        <v>45093</v>
      </c>
      <c r="AK32" s="8"/>
      <c r="AL32" s="8"/>
    </row>
    <row r="33" spans="1:38">
      <c r="A33" s="8"/>
      <c r="B33" s="36"/>
      <c r="C33" s="37"/>
      <c r="D33" s="38"/>
      <c r="E33" s="37" t="s">
        <v>8</v>
      </c>
      <c r="F33" s="39"/>
      <c r="G33" s="39"/>
      <c r="H33" s="40"/>
      <c r="I33" s="36"/>
      <c r="J33" s="37"/>
      <c r="K33" s="38"/>
      <c r="L33" s="37" t="s">
        <v>8</v>
      </c>
      <c r="M33" s="39"/>
      <c r="N33" s="39"/>
      <c r="O33" s="40"/>
      <c r="P33" s="36"/>
      <c r="Q33" s="37"/>
      <c r="R33" s="38"/>
      <c r="S33" s="37" t="s">
        <v>8</v>
      </c>
      <c r="T33" s="39"/>
      <c r="U33" s="39"/>
      <c r="V33" s="40"/>
      <c r="W33" s="36"/>
      <c r="X33" s="37"/>
      <c r="Y33" s="38"/>
      <c r="Z33" s="37" t="s">
        <v>8</v>
      </c>
      <c r="AA33" s="39"/>
      <c r="AB33" s="39"/>
      <c r="AC33" s="40"/>
      <c r="AD33" s="36"/>
      <c r="AE33" s="37"/>
      <c r="AF33" s="38"/>
      <c r="AG33" s="37" t="s">
        <v>8</v>
      </c>
      <c r="AH33" s="39"/>
      <c r="AI33" s="39"/>
      <c r="AJ33" s="40"/>
      <c r="AK33" s="8"/>
      <c r="AL33" s="8"/>
    </row>
    <row r="34" spans="1:38">
      <c r="A34" s="8"/>
      <c r="B34" s="36"/>
      <c r="C34" s="37"/>
      <c r="D34" s="38"/>
      <c r="E34" s="37"/>
      <c r="F34" s="39"/>
      <c r="G34" s="39"/>
      <c r="H34" s="40"/>
      <c r="I34" s="36"/>
      <c r="J34" s="37"/>
      <c r="K34" s="38"/>
      <c r="L34" s="37"/>
      <c r="M34" s="39"/>
      <c r="N34" s="39"/>
      <c r="O34" s="40"/>
      <c r="P34" s="36"/>
      <c r="Q34" s="37"/>
      <c r="R34" s="38"/>
      <c r="S34" s="37"/>
      <c r="T34" s="39"/>
      <c r="U34" s="39"/>
      <c r="V34" s="40"/>
      <c r="W34" s="36"/>
      <c r="X34" s="37"/>
      <c r="Y34" s="38"/>
      <c r="Z34" s="37"/>
      <c r="AA34" s="39"/>
      <c r="AB34" s="39"/>
      <c r="AC34" s="40"/>
      <c r="AD34" s="36"/>
      <c r="AE34" s="37"/>
      <c r="AF34" s="38"/>
      <c r="AG34" s="37"/>
      <c r="AH34" s="39"/>
      <c r="AI34" s="39"/>
      <c r="AJ34" s="40"/>
      <c r="AK34" s="8"/>
      <c r="AL34" s="8"/>
    </row>
    <row r="35" spans="1:38">
      <c r="A35" s="8"/>
      <c r="B35" s="36"/>
      <c r="C35" s="37"/>
      <c r="D35" s="38"/>
      <c r="E35" s="37"/>
      <c r="F35" s="39"/>
      <c r="G35" s="39"/>
      <c r="H35" s="40"/>
      <c r="I35" s="36"/>
      <c r="J35" s="37"/>
      <c r="K35" s="38"/>
      <c r="L35" s="37"/>
      <c r="M35" s="39"/>
      <c r="N35" s="39"/>
      <c r="O35" s="40"/>
      <c r="P35" s="36"/>
      <c r="Q35" s="37"/>
      <c r="R35" s="38"/>
      <c r="S35" s="37"/>
      <c r="T35" s="39"/>
      <c r="U35" s="39"/>
      <c r="V35" s="40"/>
      <c r="W35" s="36"/>
      <c r="X35" s="37"/>
      <c r="Y35" s="38"/>
      <c r="Z35" s="37"/>
      <c r="AA35" s="39"/>
      <c r="AB35" s="39"/>
      <c r="AC35" s="40"/>
      <c r="AD35" s="36"/>
      <c r="AE35" s="37"/>
      <c r="AF35" s="38"/>
      <c r="AG35" s="37"/>
      <c r="AH35" s="39"/>
      <c r="AI35" s="39"/>
      <c r="AJ35" s="40"/>
      <c r="AK35" s="8"/>
      <c r="AL35" s="8"/>
    </row>
    <row r="36" spans="1:38">
      <c r="A36" s="8"/>
      <c r="B36" s="36"/>
      <c r="C36" s="37"/>
      <c r="D36" s="38"/>
      <c r="E36" s="37"/>
      <c r="F36" s="39"/>
      <c r="G36" s="39"/>
      <c r="H36" s="40"/>
      <c r="I36" s="36"/>
      <c r="J36" s="37"/>
      <c r="K36" s="38"/>
      <c r="L36" s="37"/>
      <c r="M36" s="39"/>
      <c r="N36" s="39"/>
      <c r="O36" s="40"/>
      <c r="P36" s="36"/>
      <c r="Q36" s="37"/>
      <c r="R36" s="38"/>
      <c r="S36" s="37"/>
      <c r="T36" s="39"/>
      <c r="U36" s="39"/>
      <c r="V36" s="40"/>
      <c r="W36" s="36"/>
      <c r="X36" s="37"/>
      <c r="Y36" s="38"/>
      <c r="Z36" s="37"/>
      <c r="AA36" s="39"/>
      <c r="AB36" s="39"/>
      <c r="AC36" s="40"/>
      <c r="AD36" s="36"/>
      <c r="AE36" s="37"/>
      <c r="AF36" s="38"/>
      <c r="AG36" s="37"/>
      <c r="AH36" s="39"/>
      <c r="AI36" s="39"/>
      <c r="AJ36" s="40"/>
      <c r="AK36" s="8"/>
      <c r="AL36" s="8"/>
    </row>
    <row r="37" spans="1:38">
      <c r="A37" s="8"/>
      <c r="B37" s="36"/>
      <c r="C37" s="37"/>
      <c r="D37" s="38"/>
      <c r="E37" s="37"/>
      <c r="F37" s="39"/>
      <c r="G37" s="39"/>
      <c r="H37" s="40"/>
      <c r="I37" s="36"/>
      <c r="J37" s="37"/>
      <c r="K37" s="38"/>
      <c r="L37" s="37"/>
      <c r="M37" s="39"/>
      <c r="N37" s="39"/>
      <c r="O37" s="40"/>
      <c r="P37" s="36"/>
      <c r="Q37" s="37"/>
      <c r="R37" s="38"/>
      <c r="S37" s="37"/>
      <c r="T37" s="39"/>
      <c r="U37" s="39"/>
      <c r="V37" s="40"/>
      <c r="W37" s="36"/>
      <c r="X37" s="37"/>
      <c r="Y37" s="38"/>
      <c r="Z37" s="37"/>
      <c r="AA37" s="39"/>
      <c r="AB37" s="39"/>
      <c r="AC37" s="40"/>
      <c r="AD37" s="36"/>
      <c r="AE37" s="37"/>
      <c r="AF37" s="38"/>
      <c r="AG37" s="37"/>
      <c r="AH37" s="39"/>
      <c r="AI37" s="39"/>
      <c r="AJ37" s="40"/>
      <c r="AK37" s="8"/>
      <c r="AL37" s="8"/>
    </row>
    <row r="38" spans="1:38">
      <c r="A38" s="8"/>
      <c r="B38" s="36"/>
      <c r="C38" s="37"/>
      <c r="D38" s="38"/>
      <c r="E38" s="37" t="s">
        <v>9</v>
      </c>
      <c r="F38" s="39"/>
      <c r="G38" s="39"/>
      <c r="H38" s="40"/>
      <c r="I38" s="36"/>
      <c r="J38" s="37"/>
      <c r="K38" s="38"/>
      <c r="L38" s="37" t="s">
        <v>9</v>
      </c>
      <c r="M38" s="39"/>
      <c r="N38" s="39"/>
      <c r="O38" s="40"/>
      <c r="P38" s="36"/>
      <c r="Q38" s="37"/>
      <c r="R38" s="38"/>
      <c r="S38" s="37" t="s">
        <v>9</v>
      </c>
      <c r="T38" s="39"/>
      <c r="U38" s="39"/>
      <c r="V38" s="40"/>
      <c r="W38" s="36"/>
      <c r="X38" s="37"/>
      <c r="Y38" s="38"/>
      <c r="Z38" s="37" t="s">
        <v>9</v>
      </c>
      <c r="AA38" s="39"/>
      <c r="AB38" s="39"/>
      <c r="AC38" s="40"/>
      <c r="AD38" s="36"/>
      <c r="AE38" s="37"/>
      <c r="AF38" s="38"/>
      <c r="AG38" s="37" t="s">
        <v>9</v>
      </c>
      <c r="AH38" s="39"/>
      <c r="AI38" s="39"/>
      <c r="AJ38" s="40"/>
      <c r="AK38" s="8"/>
      <c r="AL38" s="8"/>
    </row>
    <row r="39" spans="1:38">
      <c r="A39" s="8"/>
      <c r="B39" s="36"/>
      <c r="C39" s="37"/>
      <c r="D39" s="38"/>
      <c r="E39" s="37"/>
      <c r="F39" s="39"/>
      <c r="G39" s="39"/>
      <c r="H39" s="40"/>
      <c r="I39" s="36"/>
      <c r="J39" s="37"/>
      <c r="K39" s="38"/>
      <c r="L39" s="37"/>
      <c r="M39" s="39"/>
      <c r="N39" s="39"/>
      <c r="O39" s="40"/>
      <c r="P39" s="36"/>
      <c r="Q39" s="37"/>
      <c r="R39" s="38"/>
      <c r="S39" s="37"/>
      <c r="T39" s="39"/>
      <c r="U39" s="39"/>
      <c r="V39" s="40"/>
      <c r="W39" s="36"/>
      <c r="X39" s="37"/>
      <c r="Y39" s="38"/>
      <c r="Z39" s="37"/>
      <c r="AA39" s="39"/>
      <c r="AB39" s="39"/>
      <c r="AC39" s="40"/>
      <c r="AD39" s="36"/>
      <c r="AE39" s="37"/>
      <c r="AF39" s="38"/>
      <c r="AG39" s="37"/>
      <c r="AH39" s="39"/>
      <c r="AI39" s="39"/>
      <c r="AJ39" s="40"/>
      <c r="AK39" s="8"/>
      <c r="AL39" s="8"/>
    </row>
    <row r="40" spans="1:38">
      <c r="A40" s="8"/>
      <c r="B40" s="36"/>
      <c r="C40" s="37"/>
      <c r="D40" s="38"/>
      <c r="E40" s="37"/>
      <c r="F40" s="39"/>
      <c r="G40" s="39"/>
      <c r="H40" s="40"/>
      <c r="I40" s="36"/>
      <c r="J40" s="37"/>
      <c r="K40" s="38"/>
      <c r="L40" s="37"/>
      <c r="M40" s="39"/>
      <c r="N40" s="39"/>
      <c r="O40" s="40"/>
      <c r="P40" s="36"/>
      <c r="Q40" s="37"/>
      <c r="R40" s="38"/>
      <c r="S40" s="37"/>
      <c r="T40" s="39"/>
      <c r="U40" s="39"/>
      <c r="V40" s="40"/>
      <c r="W40" s="36"/>
      <c r="X40" s="37"/>
      <c r="Y40" s="38"/>
      <c r="Z40" s="37"/>
      <c r="AA40" s="39"/>
      <c r="AB40" s="39"/>
      <c r="AC40" s="40"/>
      <c r="AD40" s="36"/>
      <c r="AE40" s="37"/>
      <c r="AF40" s="38"/>
      <c r="AG40" s="37"/>
      <c r="AH40" s="39"/>
      <c r="AI40" s="39"/>
      <c r="AJ40" s="40"/>
      <c r="AK40" s="8"/>
      <c r="AL40" s="8"/>
    </row>
    <row r="41" spans="1:38">
      <c r="A41" s="8"/>
      <c r="B41" s="36"/>
      <c r="C41" s="37"/>
      <c r="D41" s="38"/>
      <c r="E41" s="37"/>
      <c r="F41" s="39"/>
      <c r="G41" s="39"/>
      <c r="H41" s="40"/>
      <c r="I41" s="36"/>
      <c r="J41" s="37"/>
      <c r="K41" s="38"/>
      <c r="L41" s="37"/>
      <c r="M41" s="39"/>
      <c r="N41" s="39"/>
      <c r="O41" s="40"/>
      <c r="P41" s="36"/>
      <c r="Q41" s="37"/>
      <c r="R41" s="38"/>
      <c r="S41" s="37"/>
      <c r="T41" s="39"/>
      <c r="U41" s="39"/>
      <c r="V41" s="40"/>
      <c r="W41" s="36"/>
      <c r="X41" s="37"/>
      <c r="Y41" s="38"/>
      <c r="Z41" s="37"/>
      <c r="AA41" s="39"/>
      <c r="AB41" s="39"/>
      <c r="AC41" s="40"/>
      <c r="AD41" s="36"/>
      <c r="AE41" s="37"/>
      <c r="AF41" s="38"/>
      <c r="AG41" s="37"/>
      <c r="AH41" s="39"/>
      <c r="AI41" s="39"/>
      <c r="AJ41" s="40"/>
      <c r="AK41" s="8"/>
      <c r="AL41" s="8"/>
    </row>
    <row r="42" spans="1:38">
      <c r="A42" s="8"/>
      <c r="B42" s="36"/>
      <c r="C42" s="37"/>
      <c r="D42" s="38"/>
      <c r="E42" s="37"/>
      <c r="F42" s="39"/>
      <c r="G42" s="39"/>
      <c r="H42" s="40"/>
      <c r="I42" s="36"/>
      <c r="J42" s="37"/>
      <c r="K42" s="38"/>
      <c r="L42" s="37"/>
      <c r="M42" s="39"/>
      <c r="N42" s="39"/>
      <c r="O42" s="40"/>
      <c r="P42" s="36"/>
      <c r="Q42" s="37"/>
      <c r="R42" s="38"/>
      <c r="S42" s="37"/>
      <c r="T42" s="39"/>
      <c r="U42" s="39"/>
      <c r="V42" s="40"/>
      <c r="W42" s="36"/>
      <c r="X42" s="37"/>
      <c r="Y42" s="38"/>
      <c r="Z42" s="37"/>
      <c r="AA42" s="39"/>
      <c r="AB42" s="39"/>
      <c r="AC42" s="40"/>
      <c r="AD42" s="36"/>
      <c r="AE42" s="37"/>
      <c r="AF42" s="38"/>
      <c r="AG42" s="37"/>
      <c r="AH42" s="39"/>
      <c r="AI42" s="39"/>
      <c r="AJ42" s="40"/>
      <c r="AK42" s="8"/>
      <c r="AL42" s="8"/>
    </row>
    <row r="43" spans="1:38" ht="17" thickBot="1">
      <c r="A43" s="8"/>
      <c r="B43" s="41"/>
      <c r="C43" s="42"/>
      <c r="D43" s="43"/>
      <c r="E43" s="42"/>
      <c r="F43" s="44"/>
      <c r="G43" s="44"/>
      <c r="H43" s="45"/>
      <c r="I43" s="41"/>
      <c r="J43" s="42"/>
      <c r="K43" s="43"/>
      <c r="L43" s="42"/>
      <c r="M43" s="44"/>
      <c r="N43" s="44"/>
      <c r="O43" s="45"/>
      <c r="P43" s="41"/>
      <c r="Q43" s="42"/>
      <c r="R43" s="43"/>
      <c r="S43" s="42"/>
      <c r="T43" s="44"/>
      <c r="U43" s="44"/>
      <c r="V43" s="45"/>
      <c r="W43" s="41"/>
      <c r="X43" s="42"/>
      <c r="Y43" s="43"/>
      <c r="Z43" s="42"/>
      <c r="AA43" s="44"/>
      <c r="AB43" s="44"/>
      <c r="AC43" s="45"/>
      <c r="AD43" s="41"/>
      <c r="AE43" s="42"/>
      <c r="AF43" s="43"/>
      <c r="AG43" s="42"/>
      <c r="AH43" s="44"/>
      <c r="AI43" s="44"/>
      <c r="AJ43" s="45"/>
      <c r="AK43" s="8"/>
      <c r="AL43" s="8"/>
    </row>
    <row r="44" spans="1:38">
      <c r="A44" s="8"/>
      <c r="B44" s="137" t="str">
        <f>IFERROR(VLOOKUP($H$44,HOLIDAYS!$B$2:$D$22,3,FALSE),"")</f>
        <v/>
      </c>
      <c r="C44" s="138"/>
      <c r="D44" s="138"/>
      <c r="E44" s="138"/>
      <c r="F44" s="138"/>
      <c r="G44" s="138"/>
      <c r="H44" s="30">
        <f>DATE(AN2,AN5,1)-WEEKDAY(DATE(AN2,AN5,1),2)+22</f>
        <v>45096</v>
      </c>
      <c r="I44" s="137" t="str">
        <f>IFERROR(VLOOKUP($O$44,HOLIDAYS!$B$2:$D$22,3,FALSE),"")</f>
        <v/>
      </c>
      <c r="J44" s="138"/>
      <c r="K44" s="138"/>
      <c r="L44" s="138"/>
      <c r="M44" s="138"/>
      <c r="N44" s="138"/>
      <c r="O44" s="30">
        <f>DATE(AN2,AN5,1)-WEEKDAY(DATE(AN2,AN5,1),2)+23</f>
        <v>45097</v>
      </c>
      <c r="P44" s="137" t="str">
        <f>IFERROR(VLOOKUP($V$44,HOLIDAYS!$B$2:$D$22,3,FALSE),"")</f>
        <v/>
      </c>
      <c r="Q44" s="138"/>
      <c r="R44" s="138"/>
      <c r="S44" s="138"/>
      <c r="T44" s="138"/>
      <c r="U44" s="138"/>
      <c r="V44" s="30">
        <f>DATE(AN2,AN5,1)-WEEKDAY(DATE(AN2,AN5,1),2)+24</f>
        <v>45098</v>
      </c>
      <c r="W44" s="137" t="str">
        <f>IFERROR(VLOOKUP($AC$44,HOLIDAYS!$B$2:$D$22,3,FALSE),"")</f>
        <v/>
      </c>
      <c r="X44" s="138"/>
      <c r="Y44" s="138"/>
      <c r="Z44" s="138"/>
      <c r="AA44" s="138"/>
      <c r="AB44" s="138"/>
      <c r="AC44" s="30">
        <f>DATE(AN2,AN5,1)-WEEKDAY(DATE(AN2,AN5,1),2)+25</f>
        <v>45099</v>
      </c>
      <c r="AD44" s="137" t="str">
        <f>IFERROR(VLOOKUP($AJ$44,HOLIDAYS!$B$2:$D$22,3,FALSE),"")</f>
        <v/>
      </c>
      <c r="AE44" s="138"/>
      <c r="AF44" s="138"/>
      <c r="AG44" s="138"/>
      <c r="AH44" s="138"/>
      <c r="AI44" s="138"/>
      <c r="AJ44" s="30">
        <f>DATE(AN2,AN5,1)-WEEKDAY(DATE(AN2,AN5,1),2)+26</f>
        <v>45100</v>
      </c>
      <c r="AK44" s="8"/>
      <c r="AL44" s="8"/>
    </row>
    <row r="45" spans="1:38">
      <c r="A45" s="8"/>
      <c r="B45" s="36"/>
      <c r="C45" s="37"/>
      <c r="D45" s="38"/>
      <c r="E45" s="37" t="s">
        <v>8</v>
      </c>
      <c r="F45" s="39"/>
      <c r="G45" s="39"/>
      <c r="H45" s="40"/>
      <c r="I45" s="36"/>
      <c r="J45" s="37"/>
      <c r="K45" s="38"/>
      <c r="L45" s="37" t="s">
        <v>8</v>
      </c>
      <c r="M45" s="39"/>
      <c r="N45" s="39"/>
      <c r="O45" s="40"/>
      <c r="P45" s="36"/>
      <c r="Q45" s="37"/>
      <c r="R45" s="38"/>
      <c r="S45" s="37" t="s">
        <v>8</v>
      </c>
      <c r="T45" s="39"/>
      <c r="U45" s="39"/>
      <c r="V45" s="40"/>
      <c r="W45" s="36"/>
      <c r="X45" s="37"/>
      <c r="Y45" s="38"/>
      <c r="Z45" s="37" t="s">
        <v>8</v>
      </c>
      <c r="AA45" s="39"/>
      <c r="AB45" s="39"/>
      <c r="AC45" s="40"/>
      <c r="AD45" s="36"/>
      <c r="AE45" s="37"/>
      <c r="AF45" s="38"/>
      <c r="AG45" s="37" t="s">
        <v>8</v>
      </c>
      <c r="AH45" s="39"/>
      <c r="AI45" s="39"/>
      <c r="AJ45" s="40"/>
      <c r="AK45" s="8"/>
      <c r="AL45" s="8"/>
    </row>
    <row r="46" spans="1:38">
      <c r="A46" s="8"/>
      <c r="B46" s="36"/>
      <c r="C46" s="37"/>
      <c r="D46" s="38"/>
      <c r="E46" s="37"/>
      <c r="F46" s="39"/>
      <c r="G46" s="39"/>
      <c r="H46" s="40"/>
      <c r="I46" s="36"/>
      <c r="J46" s="37"/>
      <c r="K46" s="38"/>
      <c r="L46" s="37"/>
      <c r="M46" s="39"/>
      <c r="N46" s="39"/>
      <c r="O46" s="40"/>
      <c r="P46" s="36"/>
      <c r="Q46" s="37"/>
      <c r="R46" s="38"/>
      <c r="S46" s="37"/>
      <c r="T46" s="39"/>
      <c r="U46" s="39"/>
      <c r="V46" s="40"/>
      <c r="W46" s="36"/>
      <c r="X46" s="37"/>
      <c r="Y46" s="38"/>
      <c r="Z46" s="37"/>
      <c r="AA46" s="39"/>
      <c r="AB46" s="39"/>
      <c r="AC46" s="40"/>
      <c r="AE46" s="37"/>
      <c r="AF46" s="38"/>
      <c r="AG46" s="37"/>
      <c r="AH46" s="39"/>
      <c r="AI46" s="39"/>
      <c r="AJ46" s="40"/>
      <c r="AK46" s="8"/>
      <c r="AL46" s="8"/>
    </row>
    <row r="47" spans="1:38">
      <c r="A47" s="8"/>
      <c r="B47" s="36"/>
      <c r="C47" s="37"/>
      <c r="D47" s="38"/>
      <c r="E47" s="37"/>
      <c r="F47" s="39"/>
      <c r="G47" s="39"/>
      <c r="H47" s="40"/>
      <c r="I47" s="36"/>
      <c r="J47" s="37"/>
      <c r="K47" s="38"/>
      <c r="L47" s="37"/>
      <c r="M47" s="39"/>
      <c r="N47" s="39"/>
      <c r="O47" s="40"/>
      <c r="P47" s="36"/>
      <c r="Q47" s="37"/>
      <c r="R47" s="38"/>
      <c r="S47" s="37"/>
      <c r="T47" s="39"/>
      <c r="U47" s="39"/>
      <c r="V47" s="40"/>
      <c r="W47" s="36"/>
      <c r="X47" s="37"/>
      <c r="Y47" s="38"/>
      <c r="Z47" s="37"/>
      <c r="AA47" s="39"/>
      <c r="AB47" s="39"/>
      <c r="AC47" s="40"/>
      <c r="AD47" s="36"/>
      <c r="AE47" s="37"/>
      <c r="AF47" s="38"/>
      <c r="AG47" s="37"/>
      <c r="AH47" s="39"/>
      <c r="AI47" s="39"/>
      <c r="AJ47" s="40"/>
      <c r="AK47" s="8"/>
      <c r="AL47" s="8"/>
    </row>
    <row r="48" spans="1:38">
      <c r="A48" s="8"/>
      <c r="B48" s="36"/>
      <c r="C48" s="37"/>
      <c r="D48" s="38"/>
      <c r="E48" s="37"/>
      <c r="F48" s="39"/>
      <c r="G48" s="39"/>
      <c r="H48" s="40"/>
      <c r="I48" s="36"/>
      <c r="J48" s="37"/>
      <c r="K48" s="38"/>
      <c r="L48" s="37"/>
      <c r="M48" s="39"/>
      <c r="N48" s="39"/>
      <c r="O48" s="40"/>
      <c r="P48" s="36"/>
      <c r="Q48" s="37"/>
      <c r="R48" s="38"/>
      <c r="S48" s="37"/>
      <c r="T48" s="39"/>
      <c r="U48" s="39"/>
      <c r="V48" s="40"/>
      <c r="W48" s="36"/>
      <c r="X48" s="37"/>
      <c r="Y48" s="38"/>
      <c r="Z48" s="37"/>
      <c r="AA48" s="39"/>
      <c r="AB48" s="39"/>
      <c r="AC48" s="40"/>
      <c r="AD48" s="36"/>
      <c r="AE48" s="37"/>
      <c r="AF48" s="38"/>
      <c r="AG48" s="37"/>
      <c r="AH48" s="39"/>
      <c r="AI48" s="39"/>
      <c r="AJ48" s="40"/>
      <c r="AK48" s="8"/>
      <c r="AL48" s="8"/>
    </row>
    <row r="49" spans="1:38">
      <c r="A49" s="8"/>
      <c r="B49" s="36"/>
      <c r="C49" s="37"/>
      <c r="D49" s="38"/>
      <c r="E49" s="37"/>
      <c r="F49" s="39"/>
      <c r="G49" s="39"/>
      <c r="H49" s="40"/>
      <c r="I49" s="36"/>
      <c r="J49" s="37"/>
      <c r="K49" s="38"/>
      <c r="L49" s="37"/>
      <c r="M49" s="39"/>
      <c r="N49" s="39"/>
      <c r="O49" s="40"/>
      <c r="P49" s="36"/>
      <c r="Q49" s="37"/>
      <c r="R49" s="38"/>
      <c r="S49" s="37"/>
      <c r="T49" s="39"/>
      <c r="U49" s="39"/>
      <c r="V49" s="40"/>
      <c r="W49" s="36"/>
      <c r="X49" s="37"/>
      <c r="Y49" s="38"/>
      <c r="Z49" s="37"/>
      <c r="AA49" s="39"/>
      <c r="AB49" s="39"/>
      <c r="AC49" s="40"/>
      <c r="AD49" s="36"/>
      <c r="AE49" s="37"/>
      <c r="AF49" s="38"/>
      <c r="AG49" s="37"/>
      <c r="AH49" s="39"/>
      <c r="AI49" s="39"/>
      <c r="AJ49" s="40"/>
      <c r="AK49" s="8"/>
      <c r="AL49" s="8"/>
    </row>
    <row r="50" spans="1:38">
      <c r="A50" s="8"/>
      <c r="B50" s="36"/>
      <c r="C50" s="37"/>
      <c r="D50" s="38"/>
      <c r="E50" s="37" t="s">
        <v>9</v>
      </c>
      <c r="F50" s="39"/>
      <c r="G50" s="39"/>
      <c r="H50" s="40"/>
      <c r="I50" s="36"/>
      <c r="J50" s="37"/>
      <c r="K50" s="38"/>
      <c r="L50" s="37" t="s">
        <v>9</v>
      </c>
      <c r="M50" s="39"/>
      <c r="N50" s="39"/>
      <c r="O50" s="40"/>
      <c r="P50" s="36"/>
      <c r="Q50" s="37"/>
      <c r="R50" s="38"/>
      <c r="S50" s="37" t="s">
        <v>9</v>
      </c>
      <c r="T50" s="39"/>
      <c r="U50" s="39"/>
      <c r="V50" s="40"/>
      <c r="W50" s="36"/>
      <c r="X50" s="37"/>
      <c r="Y50" s="38"/>
      <c r="Z50" s="37" t="s">
        <v>9</v>
      </c>
      <c r="AA50" s="39"/>
      <c r="AB50" s="39"/>
      <c r="AC50" s="40"/>
      <c r="AD50" s="36"/>
      <c r="AE50" s="37"/>
      <c r="AF50" s="38"/>
      <c r="AG50" s="37" t="s">
        <v>9</v>
      </c>
      <c r="AH50" s="39"/>
      <c r="AI50" s="39"/>
      <c r="AJ50" s="40"/>
      <c r="AK50" s="8"/>
      <c r="AL50" s="8"/>
    </row>
    <row r="51" spans="1:38">
      <c r="A51" s="8"/>
      <c r="B51" s="36"/>
      <c r="C51" s="37"/>
      <c r="D51" s="38"/>
      <c r="E51" s="37"/>
      <c r="F51" s="39"/>
      <c r="G51" s="39"/>
      <c r="H51" s="40"/>
      <c r="I51" s="36"/>
      <c r="J51" s="37"/>
      <c r="K51" s="38"/>
      <c r="L51" s="37"/>
      <c r="M51" s="39"/>
      <c r="N51" s="39"/>
      <c r="O51" s="40"/>
      <c r="P51" s="36"/>
      <c r="Q51" s="37"/>
      <c r="R51" s="38"/>
      <c r="S51" s="37"/>
      <c r="T51" s="39"/>
      <c r="U51" s="39"/>
      <c r="V51" s="40"/>
      <c r="W51" s="36"/>
      <c r="X51" s="37"/>
      <c r="Y51" s="38"/>
      <c r="Z51" s="37"/>
      <c r="AA51" s="39"/>
      <c r="AB51" s="39"/>
      <c r="AC51" s="40"/>
      <c r="AD51" s="36"/>
      <c r="AE51" s="37"/>
      <c r="AF51" s="38"/>
      <c r="AG51" s="37"/>
      <c r="AH51" s="39"/>
      <c r="AI51" s="39"/>
      <c r="AJ51" s="40"/>
      <c r="AK51" s="8"/>
      <c r="AL51" s="8"/>
    </row>
    <row r="52" spans="1:38">
      <c r="A52" s="8"/>
      <c r="B52" s="36"/>
      <c r="C52" s="37"/>
      <c r="D52" s="38"/>
      <c r="E52" s="37"/>
      <c r="F52" s="39"/>
      <c r="G52" s="39"/>
      <c r="H52" s="40"/>
      <c r="I52" s="36"/>
      <c r="J52" s="37"/>
      <c r="K52" s="38"/>
      <c r="L52" s="37"/>
      <c r="M52" s="39"/>
      <c r="N52" s="39"/>
      <c r="O52" s="40"/>
      <c r="P52" s="36"/>
      <c r="Q52" s="37"/>
      <c r="R52" s="38"/>
      <c r="S52" s="37"/>
      <c r="T52" s="39"/>
      <c r="U52" s="39"/>
      <c r="V52" s="40"/>
      <c r="W52" s="36"/>
      <c r="X52" s="37"/>
      <c r="Y52" s="38"/>
      <c r="Z52" s="37"/>
      <c r="AA52" s="39"/>
      <c r="AB52" s="39"/>
      <c r="AC52" s="40"/>
      <c r="AD52" s="36"/>
      <c r="AE52" s="37"/>
      <c r="AF52" s="38"/>
      <c r="AG52" s="37"/>
      <c r="AH52" s="39"/>
      <c r="AI52" s="39"/>
      <c r="AJ52" s="40"/>
      <c r="AK52" s="8"/>
      <c r="AL52" s="8"/>
    </row>
    <row r="53" spans="1:38">
      <c r="A53" s="8"/>
      <c r="B53" s="36"/>
      <c r="C53" s="37"/>
      <c r="D53" s="38"/>
      <c r="E53" s="37"/>
      <c r="F53" s="39"/>
      <c r="G53" s="39"/>
      <c r="H53" s="40"/>
      <c r="I53" s="36"/>
      <c r="J53" s="37"/>
      <c r="K53" s="38"/>
      <c r="L53" s="37"/>
      <c r="M53" s="39"/>
      <c r="N53" s="39"/>
      <c r="O53" s="40"/>
      <c r="P53" s="36"/>
      <c r="Q53" s="37"/>
      <c r="R53" s="38"/>
      <c r="S53" s="37"/>
      <c r="T53" s="39"/>
      <c r="U53" s="39"/>
      <c r="V53" s="40"/>
      <c r="W53" s="36"/>
      <c r="X53" s="37"/>
      <c r="Y53" s="38"/>
      <c r="Z53" s="37"/>
      <c r="AA53" s="39"/>
      <c r="AB53" s="39"/>
      <c r="AC53" s="40"/>
      <c r="AD53" s="36"/>
      <c r="AE53" s="37"/>
      <c r="AF53" s="38"/>
      <c r="AG53" s="37"/>
      <c r="AH53" s="39"/>
      <c r="AI53" s="39"/>
      <c r="AJ53" s="40"/>
      <c r="AK53" s="8"/>
      <c r="AL53" s="8"/>
    </row>
    <row r="54" spans="1:38">
      <c r="A54" s="8"/>
      <c r="B54" s="36"/>
      <c r="C54" s="37"/>
      <c r="D54" s="38"/>
      <c r="E54" s="37"/>
      <c r="F54" s="39"/>
      <c r="G54" s="39"/>
      <c r="H54" s="40"/>
      <c r="I54" s="36"/>
      <c r="J54" s="37"/>
      <c r="K54" s="38"/>
      <c r="L54" s="37"/>
      <c r="M54" s="39"/>
      <c r="N54" s="39"/>
      <c r="O54" s="40"/>
      <c r="P54" s="36"/>
      <c r="Q54" s="37"/>
      <c r="R54" s="38"/>
      <c r="S54" s="37"/>
      <c r="T54" s="39"/>
      <c r="U54" s="39"/>
      <c r="V54" s="40"/>
      <c r="W54" s="36"/>
      <c r="X54" s="37"/>
      <c r="Y54" s="38"/>
      <c r="Z54" s="37"/>
      <c r="AA54" s="39"/>
      <c r="AB54" s="39"/>
      <c r="AC54" s="40"/>
      <c r="AD54" s="36"/>
      <c r="AE54" s="37"/>
      <c r="AF54" s="38"/>
      <c r="AG54" s="37"/>
      <c r="AH54" s="39"/>
      <c r="AI54" s="39"/>
      <c r="AJ54" s="40"/>
      <c r="AK54" s="8"/>
      <c r="AL54" s="8"/>
    </row>
    <row r="55" spans="1:38" ht="17" thickBot="1">
      <c r="A55" s="8"/>
      <c r="B55" s="41"/>
      <c r="C55" s="42"/>
      <c r="D55" s="43"/>
      <c r="E55" s="42"/>
      <c r="F55" s="44"/>
      <c r="G55" s="44"/>
      <c r="H55" s="45"/>
      <c r="I55" s="41"/>
      <c r="J55" s="42"/>
      <c r="K55" s="43"/>
      <c r="L55" s="42"/>
      <c r="M55" s="44"/>
      <c r="N55" s="44"/>
      <c r="O55" s="45"/>
      <c r="P55" s="41"/>
      <c r="Q55" s="42"/>
      <c r="R55" s="43"/>
      <c r="S55" s="42"/>
      <c r="T55" s="44"/>
      <c r="U55" s="44"/>
      <c r="V55" s="45"/>
      <c r="W55" s="41"/>
      <c r="X55" s="42"/>
      <c r="Y55" s="43"/>
      <c r="Z55" s="42"/>
      <c r="AA55" s="44"/>
      <c r="AB55" s="44"/>
      <c r="AC55" s="45"/>
      <c r="AD55" s="41"/>
      <c r="AE55" s="42"/>
      <c r="AF55" s="43"/>
      <c r="AG55" s="42"/>
      <c r="AH55" s="44"/>
      <c r="AI55" s="44"/>
      <c r="AJ55" s="45"/>
      <c r="AK55" s="8"/>
      <c r="AL55" s="8"/>
    </row>
    <row r="56" spans="1:38">
      <c r="A56" s="8"/>
      <c r="B56" s="137" t="str">
        <f>IFERROR(VLOOKUP($H$56,HOLIDAYS!$B$2:$D$22,3,FALSE),"")</f>
        <v/>
      </c>
      <c r="C56" s="138"/>
      <c r="D56" s="138"/>
      <c r="E56" s="138"/>
      <c r="F56" s="138"/>
      <c r="G56" s="138"/>
      <c r="H56" s="30">
        <f>DATE(AN2,AN5,1)-WEEKDAY(DATE(AN2,AN5,1),2)+29</f>
        <v>45103</v>
      </c>
      <c r="I56" s="137" t="str">
        <f>IFERROR(VLOOKUP($O$56,HOLIDAYS!$B$2:$D$22,3,FALSE),"")</f>
        <v/>
      </c>
      <c r="J56" s="138"/>
      <c r="K56" s="138"/>
      <c r="L56" s="138"/>
      <c r="M56" s="138"/>
      <c r="N56" s="138"/>
      <c r="O56" s="30">
        <f>DATE(AN2,AN5,1)-WEEKDAY(DATE(AN2,AN5,1),2)+30</f>
        <v>45104</v>
      </c>
      <c r="P56" s="137" t="str">
        <f>IFERROR(VLOOKUP($V$56,HOLIDAYS!$B$2:$D$22,3,FALSE),"")</f>
        <v/>
      </c>
      <c r="Q56" s="138"/>
      <c r="R56" s="138"/>
      <c r="S56" s="138"/>
      <c r="T56" s="138"/>
      <c r="U56" s="138"/>
      <c r="V56" s="30">
        <f>DATE(AN2,AN5,1)-WEEKDAY(DATE(AN2,AN5,1),2)+31</f>
        <v>45105</v>
      </c>
      <c r="W56" s="137" t="str">
        <f>IFERROR(VLOOKUP($AC$56,HOLIDAYS!$B$2:$D$22,3,FALSE),"")</f>
        <v xml:space="preserve">	Hari Raya Haji</v>
      </c>
      <c r="X56" s="138"/>
      <c r="Y56" s="138"/>
      <c r="Z56" s="138"/>
      <c r="AA56" s="138"/>
      <c r="AB56" s="138"/>
      <c r="AC56" s="30">
        <f>DATE(AN2,AN5,1)-WEEKDAY(DATE(AN2,AN5,1),2)+32</f>
        <v>45106</v>
      </c>
      <c r="AD56" s="137" t="str">
        <f>IFERROR(VLOOKUP($AJ$56,HOLIDAYS!$B$2:$D$22,3,FALSE),"")</f>
        <v/>
      </c>
      <c r="AE56" s="138"/>
      <c r="AF56" s="138"/>
      <c r="AG56" s="138"/>
      <c r="AH56" s="138"/>
      <c r="AI56" s="138"/>
      <c r="AJ56" s="30">
        <f>DATE(AN2,AN5,1)-WEEKDAY(DATE(AN2,AN5,1),2)+33</f>
        <v>45107</v>
      </c>
      <c r="AK56" s="8"/>
      <c r="AL56" s="8"/>
    </row>
    <row r="57" spans="1:38">
      <c r="A57" s="8"/>
      <c r="B57" s="36"/>
      <c r="C57" s="37"/>
      <c r="D57" s="38"/>
      <c r="E57" s="37" t="s">
        <v>8</v>
      </c>
      <c r="F57" s="39"/>
      <c r="G57" s="39"/>
      <c r="H57" s="40"/>
      <c r="I57" s="36"/>
      <c r="J57" s="37"/>
      <c r="K57" s="38"/>
      <c r="L57" s="37" t="s">
        <v>8</v>
      </c>
      <c r="M57" s="39"/>
      <c r="N57" s="39"/>
      <c r="O57" s="40"/>
      <c r="P57" s="36"/>
      <c r="Q57" s="37"/>
      <c r="R57" s="38"/>
      <c r="S57" s="37" t="s">
        <v>8</v>
      </c>
      <c r="T57" s="39"/>
      <c r="U57" s="39"/>
      <c r="V57" s="40"/>
      <c r="W57" s="36"/>
      <c r="X57" s="37"/>
      <c r="Y57" s="38"/>
      <c r="Z57" s="37" t="s">
        <v>8</v>
      </c>
      <c r="AA57" s="39"/>
      <c r="AB57" s="39"/>
      <c r="AC57" s="40"/>
      <c r="AD57" s="36"/>
      <c r="AE57" s="37"/>
      <c r="AF57" s="38"/>
      <c r="AG57" s="37" t="s">
        <v>8</v>
      </c>
      <c r="AH57" s="39"/>
      <c r="AI57" s="39"/>
      <c r="AJ57" s="40"/>
      <c r="AK57" s="8"/>
      <c r="AL57" s="8"/>
    </row>
    <row r="58" spans="1:38">
      <c r="A58" s="8"/>
      <c r="B58" s="36"/>
      <c r="C58" s="37"/>
      <c r="D58" s="38"/>
      <c r="E58" s="37"/>
      <c r="F58" s="39"/>
      <c r="G58" s="39"/>
      <c r="H58" s="40"/>
      <c r="I58" s="36"/>
      <c r="J58" s="37"/>
      <c r="K58" s="38"/>
      <c r="L58" s="37"/>
      <c r="M58" s="39"/>
      <c r="N58" s="39"/>
      <c r="O58" s="40"/>
      <c r="P58" s="36"/>
      <c r="Q58" s="37"/>
      <c r="R58" s="38"/>
      <c r="S58" s="37"/>
      <c r="T58" s="39"/>
      <c r="U58" s="39"/>
      <c r="V58" s="40"/>
      <c r="W58" s="36"/>
      <c r="X58" s="37"/>
      <c r="Y58" s="38"/>
      <c r="Z58" s="37"/>
      <c r="AA58" s="39"/>
      <c r="AB58" s="39"/>
      <c r="AC58" s="40"/>
      <c r="AD58" s="36"/>
      <c r="AE58" s="37"/>
      <c r="AF58" s="38"/>
      <c r="AG58" s="37"/>
      <c r="AH58" s="39"/>
      <c r="AI58" s="39"/>
      <c r="AJ58" s="40"/>
      <c r="AK58" s="8"/>
      <c r="AL58" s="8"/>
    </row>
    <row r="59" spans="1:38">
      <c r="A59" s="8"/>
      <c r="B59" s="36"/>
      <c r="C59" s="37"/>
      <c r="D59" s="38"/>
      <c r="E59" s="37"/>
      <c r="F59" s="39"/>
      <c r="G59" s="39"/>
      <c r="H59" s="40"/>
      <c r="I59" s="36"/>
      <c r="J59" s="37"/>
      <c r="K59" s="38"/>
      <c r="L59" s="37"/>
      <c r="M59" s="39"/>
      <c r="N59" s="39"/>
      <c r="O59" s="40"/>
      <c r="P59" s="36"/>
      <c r="Q59" s="37"/>
      <c r="R59" s="38"/>
      <c r="S59" s="37"/>
      <c r="T59" s="39"/>
      <c r="U59" s="39"/>
      <c r="V59" s="40"/>
      <c r="W59" s="36"/>
      <c r="X59" s="37"/>
      <c r="Y59" s="38"/>
      <c r="Z59" s="37"/>
      <c r="AA59" s="39"/>
      <c r="AB59" s="39"/>
      <c r="AC59" s="40"/>
      <c r="AD59" s="36"/>
      <c r="AE59" s="37"/>
      <c r="AF59" s="38"/>
      <c r="AG59" s="37"/>
      <c r="AH59" s="39"/>
      <c r="AI59" s="39"/>
      <c r="AJ59" s="40"/>
      <c r="AK59" s="8"/>
      <c r="AL59" s="8"/>
    </row>
    <row r="60" spans="1:38">
      <c r="A60" s="8"/>
      <c r="B60" s="36"/>
      <c r="C60" s="37"/>
      <c r="D60" s="38"/>
      <c r="E60" s="37"/>
      <c r="F60" s="39"/>
      <c r="G60" s="39"/>
      <c r="H60" s="40"/>
      <c r="I60" s="36"/>
      <c r="J60" s="37"/>
      <c r="K60" s="38"/>
      <c r="L60" s="37"/>
      <c r="M60" s="39"/>
      <c r="N60" s="39"/>
      <c r="O60" s="40"/>
      <c r="P60" s="36"/>
      <c r="Q60" s="37"/>
      <c r="R60" s="38"/>
      <c r="S60" s="37"/>
      <c r="T60" s="39"/>
      <c r="U60" s="39"/>
      <c r="V60" s="40"/>
      <c r="W60" s="36"/>
      <c r="X60" s="37"/>
      <c r="Y60" s="38"/>
      <c r="Z60" s="37"/>
      <c r="AA60" s="39"/>
      <c r="AB60" s="39"/>
      <c r="AC60" s="40"/>
      <c r="AD60" s="36"/>
      <c r="AE60" s="37"/>
      <c r="AF60" s="38"/>
      <c r="AG60" s="37"/>
      <c r="AH60" s="39"/>
      <c r="AI60" s="39"/>
      <c r="AJ60" s="40"/>
      <c r="AK60" s="8"/>
      <c r="AL60" s="8"/>
    </row>
    <row r="61" spans="1:38">
      <c r="A61" s="8"/>
      <c r="B61" s="36"/>
      <c r="C61" s="37"/>
      <c r="D61" s="38"/>
      <c r="E61" s="37"/>
      <c r="F61" s="39"/>
      <c r="G61" s="39"/>
      <c r="H61" s="40"/>
      <c r="I61" s="36"/>
      <c r="J61" s="37"/>
      <c r="K61" s="38"/>
      <c r="L61" s="37"/>
      <c r="M61" s="39"/>
      <c r="N61" s="39"/>
      <c r="O61" s="40"/>
      <c r="P61" s="36"/>
      <c r="Q61" s="37"/>
      <c r="R61" s="38"/>
      <c r="S61" s="37"/>
      <c r="T61" s="39"/>
      <c r="U61" s="39"/>
      <c r="V61" s="40"/>
      <c r="W61" s="36"/>
      <c r="X61" s="37"/>
      <c r="Y61" s="38"/>
      <c r="Z61" s="37"/>
      <c r="AA61" s="39"/>
      <c r="AB61" s="39"/>
      <c r="AC61" s="40"/>
      <c r="AD61" s="36"/>
      <c r="AE61" s="37"/>
      <c r="AF61" s="38"/>
      <c r="AG61" s="37"/>
      <c r="AH61" s="39"/>
      <c r="AI61" s="39"/>
      <c r="AJ61" s="40"/>
      <c r="AK61" s="8"/>
      <c r="AL61" s="8"/>
    </row>
    <row r="62" spans="1:38">
      <c r="A62" s="8"/>
      <c r="B62" s="36"/>
      <c r="C62" s="37"/>
      <c r="D62" s="38"/>
      <c r="E62" s="37" t="s">
        <v>9</v>
      </c>
      <c r="F62" s="39"/>
      <c r="G62" s="39"/>
      <c r="H62" s="40"/>
      <c r="I62" s="36"/>
      <c r="J62" s="37"/>
      <c r="K62" s="38"/>
      <c r="L62" s="37" t="s">
        <v>9</v>
      </c>
      <c r="M62" s="39"/>
      <c r="N62" s="39"/>
      <c r="O62" s="40"/>
      <c r="P62" s="36"/>
      <c r="Q62" s="37"/>
      <c r="R62" s="38"/>
      <c r="S62" s="37" t="s">
        <v>9</v>
      </c>
      <c r="T62" s="39"/>
      <c r="U62" s="39"/>
      <c r="V62" s="40"/>
      <c r="W62" s="36"/>
      <c r="X62" s="37"/>
      <c r="Y62" s="38"/>
      <c r="Z62" s="37" t="s">
        <v>9</v>
      </c>
      <c r="AA62" s="39"/>
      <c r="AB62" s="39"/>
      <c r="AC62" s="40"/>
      <c r="AD62" s="36"/>
      <c r="AE62" s="37"/>
      <c r="AF62" s="38"/>
      <c r="AG62" s="37" t="s">
        <v>9</v>
      </c>
      <c r="AH62" s="39"/>
      <c r="AI62" s="39"/>
      <c r="AJ62" s="40"/>
      <c r="AK62" s="8"/>
      <c r="AL62" s="8"/>
    </row>
    <row r="63" spans="1:38">
      <c r="A63" s="8"/>
      <c r="B63" s="36"/>
      <c r="C63" s="37"/>
      <c r="D63" s="38"/>
      <c r="E63" s="37"/>
      <c r="F63" s="39"/>
      <c r="G63" s="39"/>
      <c r="H63" s="40"/>
      <c r="I63" s="36"/>
      <c r="J63" s="37"/>
      <c r="K63" s="38"/>
      <c r="L63" s="37"/>
      <c r="M63" s="39"/>
      <c r="N63" s="39"/>
      <c r="O63" s="40"/>
      <c r="P63" s="36"/>
      <c r="Q63" s="37"/>
      <c r="R63" s="38"/>
      <c r="S63" s="37"/>
      <c r="T63" s="39"/>
      <c r="U63" s="39"/>
      <c r="V63" s="40"/>
      <c r="W63" s="36"/>
      <c r="X63" s="37"/>
      <c r="Y63" s="38"/>
      <c r="Z63" s="37"/>
      <c r="AA63" s="39"/>
      <c r="AB63" s="39"/>
      <c r="AC63" s="40"/>
      <c r="AD63" s="36"/>
      <c r="AE63" s="37"/>
      <c r="AF63" s="38"/>
      <c r="AG63" s="37"/>
      <c r="AH63" s="39"/>
      <c r="AI63" s="39"/>
      <c r="AJ63" s="40"/>
      <c r="AK63" s="8"/>
      <c r="AL63" s="8"/>
    </row>
    <row r="64" spans="1:38">
      <c r="A64" s="8"/>
      <c r="B64" s="36"/>
      <c r="C64" s="37"/>
      <c r="D64" s="38"/>
      <c r="E64" s="37"/>
      <c r="F64" s="39"/>
      <c r="G64" s="39"/>
      <c r="H64" s="40"/>
      <c r="I64" s="36"/>
      <c r="J64" s="37"/>
      <c r="K64" s="38"/>
      <c r="L64" s="37"/>
      <c r="M64" s="39"/>
      <c r="N64" s="39"/>
      <c r="O64" s="40"/>
      <c r="P64" s="36"/>
      <c r="Q64" s="37"/>
      <c r="R64" s="38"/>
      <c r="S64" s="37"/>
      <c r="T64" s="39"/>
      <c r="U64" s="39"/>
      <c r="V64" s="40"/>
      <c r="W64" s="36"/>
      <c r="X64" s="37"/>
      <c r="Y64" s="38"/>
      <c r="Z64" s="37"/>
      <c r="AA64" s="39"/>
      <c r="AB64" s="39"/>
      <c r="AC64" s="40"/>
      <c r="AD64" s="36"/>
      <c r="AE64" s="37"/>
      <c r="AF64" s="38"/>
      <c r="AG64" s="37"/>
      <c r="AH64" s="39"/>
      <c r="AI64" s="39"/>
      <c r="AJ64" s="40"/>
      <c r="AK64" s="8"/>
      <c r="AL64" s="8"/>
    </row>
    <row r="65" spans="1:38">
      <c r="A65" s="8"/>
      <c r="B65" s="36"/>
      <c r="C65" s="37"/>
      <c r="D65" s="38"/>
      <c r="E65" s="37"/>
      <c r="F65" s="39"/>
      <c r="G65" s="39"/>
      <c r="H65" s="40"/>
      <c r="I65" s="36"/>
      <c r="J65" s="37"/>
      <c r="K65" s="38"/>
      <c r="L65" s="37"/>
      <c r="M65" s="39"/>
      <c r="N65" s="39"/>
      <c r="O65" s="40"/>
      <c r="P65" s="36"/>
      <c r="Q65" s="37"/>
      <c r="R65" s="38"/>
      <c r="S65" s="37"/>
      <c r="T65" s="39"/>
      <c r="U65" s="39"/>
      <c r="V65" s="40"/>
      <c r="W65" s="36"/>
      <c r="X65" s="37"/>
      <c r="Y65" s="38"/>
      <c r="Z65" s="37"/>
      <c r="AA65" s="39"/>
      <c r="AB65" s="39"/>
      <c r="AC65" s="40"/>
      <c r="AD65" s="36"/>
      <c r="AE65" s="37"/>
      <c r="AF65" s="38"/>
      <c r="AG65" s="37"/>
      <c r="AH65" s="39"/>
      <c r="AI65" s="39"/>
      <c r="AJ65" s="40"/>
      <c r="AK65" s="8"/>
      <c r="AL65" s="8"/>
    </row>
    <row r="66" spans="1:38">
      <c r="A66" s="8"/>
      <c r="B66" s="36"/>
      <c r="C66" s="37"/>
      <c r="D66" s="38"/>
      <c r="E66" s="37"/>
      <c r="F66" s="39"/>
      <c r="G66" s="39"/>
      <c r="H66" s="40"/>
      <c r="I66" s="36"/>
      <c r="J66" s="37"/>
      <c r="K66" s="38"/>
      <c r="L66" s="37"/>
      <c r="M66" s="39"/>
      <c r="N66" s="39"/>
      <c r="O66" s="40"/>
      <c r="P66" s="36"/>
      <c r="Q66" s="37"/>
      <c r="R66" s="38"/>
      <c r="S66" s="37"/>
      <c r="T66" s="39"/>
      <c r="U66" s="39"/>
      <c r="V66" s="40"/>
      <c r="W66" s="36"/>
      <c r="X66" s="37"/>
      <c r="Y66" s="38"/>
      <c r="Z66" s="37"/>
      <c r="AA66" s="39"/>
      <c r="AB66" s="39"/>
      <c r="AC66" s="40"/>
      <c r="AD66" s="36"/>
      <c r="AE66" s="37"/>
      <c r="AF66" s="38"/>
      <c r="AG66" s="37"/>
      <c r="AH66" s="39"/>
      <c r="AI66" s="39"/>
      <c r="AJ66" s="40"/>
      <c r="AK66" s="8"/>
      <c r="AL66" s="8"/>
    </row>
    <row r="67" spans="1:38" ht="17" thickBot="1">
      <c r="A67" s="8"/>
      <c r="B67" s="41"/>
      <c r="C67" s="42"/>
      <c r="D67" s="43"/>
      <c r="E67" s="42"/>
      <c r="F67" s="44"/>
      <c r="G67" s="44"/>
      <c r="H67" s="45"/>
      <c r="I67" s="41"/>
      <c r="J67" s="42"/>
      <c r="K67" s="43"/>
      <c r="L67" s="42"/>
      <c r="M67" s="44"/>
      <c r="N67" s="44"/>
      <c r="O67" s="45"/>
      <c r="P67" s="41"/>
      <c r="Q67" s="42"/>
      <c r="R67" s="43"/>
      <c r="S67" s="42"/>
      <c r="T67" s="44"/>
      <c r="U67" s="44"/>
      <c r="V67" s="45"/>
      <c r="W67" s="41"/>
      <c r="X67" s="42"/>
      <c r="Y67" s="43"/>
      <c r="Z67" s="42"/>
      <c r="AA67" s="44"/>
      <c r="AB67" s="44"/>
      <c r="AC67" s="45"/>
      <c r="AD67" s="41"/>
      <c r="AE67" s="42"/>
      <c r="AF67" s="43"/>
      <c r="AG67" s="42"/>
      <c r="AH67" s="44"/>
      <c r="AI67" s="44"/>
      <c r="AJ67" s="45"/>
      <c r="AK67" s="8"/>
      <c r="AL67" s="8"/>
    </row>
    <row r="68" spans="1:38">
      <c r="A68" s="8"/>
      <c r="B68" s="137" t="str">
        <f>IFERROR(VLOOKUP($H$68,HOLIDAYS!$B$2:$D$22,3,FALSE),"")</f>
        <v/>
      </c>
      <c r="C68" s="138"/>
      <c r="D68" s="138"/>
      <c r="E68" s="138"/>
      <c r="F68" s="138"/>
      <c r="G68" s="138"/>
      <c r="H68" s="30">
        <f>DATE(AN2,AN5,1)-WEEKDAY(DATE(AN2,AN5,1),2)+36</f>
        <v>45110</v>
      </c>
      <c r="I68" s="137" t="str">
        <f>IFERROR(VLOOKUP($O$68,HOLIDAYS!$B$2:$D$22,3,FALSE),"")</f>
        <v/>
      </c>
      <c r="J68" s="138"/>
      <c r="K68" s="138"/>
      <c r="L68" s="138"/>
      <c r="M68" s="138"/>
      <c r="N68" s="138"/>
      <c r="O68" s="30">
        <f>DATE(AN2,AN5,1)-WEEKDAY(DATE(AN2,AN5,1),2)+37</f>
        <v>45111</v>
      </c>
      <c r="P68" s="137" t="str">
        <f>IFERROR(VLOOKUP($V$68,HOLIDAYS!$B$2:$D$22,3,FALSE),"")</f>
        <v/>
      </c>
      <c r="Q68" s="138"/>
      <c r="R68" s="138"/>
      <c r="S68" s="138"/>
      <c r="T68" s="138"/>
      <c r="U68" s="138"/>
      <c r="V68" s="30">
        <f>DATE(AN2,AN5,1)-WEEKDAY(DATE(AN2,AN5,1),2)+38</f>
        <v>45112</v>
      </c>
      <c r="W68" s="137" t="str">
        <f>IFERROR(VLOOKUP($AC$68,HOLIDAYS!$B$2:$D$22,3,FALSE),"")</f>
        <v/>
      </c>
      <c r="X68" s="138"/>
      <c r="Y68" s="138"/>
      <c r="Z68" s="138"/>
      <c r="AA68" s="138"/>
      <c r="AB68" s="138"/>
      <c r="AC68" s="30">
        <f>DATE(AN2,AN5,1)-WEEKDAY(DATE(AN2,AN5,1),2)+39</f>
        <v>45113</v>
      </c>
      <c r="AD68" s="137" t="str">
        <f>IFERROR(VLOOKUP($AJ$68,HOLIDAYS!$B$2:$D$22,3,FALSE),"")</f>
        <v/>
      </c>
      <c r="AE68" s="138"/>
      <c r="AF68" s="138"/>
      <c r="AG68" s="138"/>
      <c r="AH68" s="138"/>
      <c r="AI68" s="138"/>
      <c r="AJ68" s="30">
        <f>DATE(AN2,AN5,1)-WEEKDAY(DATE(AN2,AN5,1),2)+40</f>
        <v>45114</v>
      </c>
      <c r="AK68" s="8"/>
      <c r="AL68" s="8"/>
    </row>
    <row r="69" spans="1:38">
      <c r="A69" s="8"/>
      <c r="B69" s="36"/>
      <c r="C69" s="37"/>
      <c r="D69" s="38"/>
      <c r="E69" s="37" t="s">
        <v>8</v>
      </c>
      <c r="F69" s="39"/>
      <c r="G69" s="39"/>
      <c r="H69" s="40"/>
      <c r="I69" s="36"/>
      <c r="J69" s="37"/>
      <c r="K69" s="38"/>
      <c r="L69" s="37" t="s">
        <v>8</v>
      </c>
      <c r="M69" s="39"/>
      <c r="N69" s="39"/>
      <c r="O69" s="40"/>
      <c r="P69" s="36"/>
      <c r="Q69" s="37"/>
      <c r="R69" s="38"/>
      <c r="S69" s="37" t="s">
        <v>8</v>
      </c>
      <c r="T69" s="39"/>
      <c r="U69" s="39"/>
      <c r="V69" s="40"/>
      <c r="W69" s="36"/>
      <c r="X69" s="37"/>
      <c r="Y69" s="38"/>
      <c r="Z69" s="37" t="s">
        <v>8</v>
      </c>
      <c r="AA69" s="39"/>
      <c r="AB69" s="39"/>
      <c r="AC69" s="40"/>
      <c r="AD69" s="36"/>
      <c r="AE69" s="37"/>
      <c r="AF69" s="38"/>
      <c r="AG69" s="37" t="s">
        <v>8</v>
      </c>
      <c r="AH69" s="39"/>
      <c r="AI69" s="39"/>
      <c r="AJ69" s="40"/>
      <c r="AK69" s="8"/>
      <c r="AL69" s="8"/>
    </row>
    <row r="70" spans="1:38">
      <c r="A70" s="8"/>
      <c r="B70" s="36"/>
      <c r="C70" s="37"/>
      <c r="D70" s="38"/>
      <c r="E70" s="37"/>
      <c r="F70" s="39"/>
      <c r="G70" s="39"/>
      <c r="H70" s="40"/>
      <c r="I70" s="36"/>
      <c r="J70" s="37"/>
      <c r="K70" s="38"/>
      <c r="L70" s="37"/>
      <c r="M70" s="39"/>
      <c r="N70" s="39"/>
      <c r="O70" s="40"/>
      <c r="P70" s="36"/>
      <c r="Q70" s="37"/>
      <c r="R70" s="38"/>
      <c r="S70" s="37"/>
      <c r="T70" s="39"/>
      <c r="U70" s="39"/>
      <c r="V70" s="40"/>
      <c r="W70" s="36"/>
      <c r="X70" s="37"/>
      <c r="Y70" s="38"/>
      <c r="Z70" s="37"/>
      <c r="AA70" s="39"/>
      <c r="AB70" s="39"/>
      <c r="AC70" s="40"/>
      <c r="AD70" s="36"/>
      <c r="AE70" s="37"/>
      <c r="AF70" s="38"/>
      <c r="AG70" s="37"/>
      <c r="AH70" s="39"/>
      <c r="AI70" s="39"/>
      <c r="AJ70" s="40"/>
      <c r="AK70" s="8"/>
      <c r="AL70" s="8"/>
    </row>
    <row r="71" spans="1:38">
      <c r="A71" s="8"/>
      <c r="B71" s="36"/>
      <c r="C71" s="37"/>
      <c r="D71" s="38"/>
      <c r="E71" s="37"/>
      <c r="F71" s="39"/>
      <c r="G71" s="39"/>
      <c r="H71" s="40"/>
      <c r="I71" s="36"/>
      <c r="J71" s="37"/>
      <c r="K71" s="38"/>
      <c r="L71" s="37"/>
      <c r="M71" s="39"/>
      <c r="N71" s="39"/>
      <c r="O71" s="40"/>
      <c r="P71" s="36"/>
      <c r="Q71" s="37"/>
      <c r="R71" s="38"/>
      <c r="S71" s="37"/>
      <c r="T71" s="39"/>
      <c r="U71" s="39"/>
      <c r="V71" s="40"/>
      <c r="W71" s="36"/>
      <c r="X71" s="37"/>
      <c r="Y71" s="38"/>
      <c r="Z71" s="37"/>
      <c r="AA71" s="39"/>
      <c r="AB71" s="39"/>
      <c r="AC71" s="40"/>
      <c r="AD71" s="36"/>
      <c r="AE71" s="37"/>
      <c r="AF71" s="38"/>
      <c r="AG71" s="37"/>
      <c r="AH71" s="39"/>
      <c r="AI71" s="39"/>
      <c r="AJ71" s="40"/>
      <c r="AK71" s="8"/>
      <c r="AL71" s="8"/>
    </row>
    <row r="72" spans="1:38">
      <c r="A72" s="8"/>
      <c r="B72" s="36"/>
      <c r="C72" s="37"/>
      <c r="D72" s="38"/>
      <c r="E72" s="37"/>
      <c r="F72" s="39"/>
      <c r="G72" s="39"/>
      <c r="H72" s="40"/>
      <c r="I72" s="36"/>
      <c r="J72" s="37"/>
      <c r="K72" s="38"/>
      <c r="L72" s="37"/>
      <c r="M72" s="39"/>
      <c r="N72" s="39"/>
      <c r="O72" s="40"/>
      <c r="P72" s="36"/>
      <c r="Q72" s="37"/>
      <c r="R72" s="38"/>
      <c r="S72" s="37"/>
      <c r="T72" s="39"/>
      <c r="U72" s="39"/>
      <c r="V72" s="40"/>
      <c r="W72" s="36"/>
      <c r="X72" s="37"/>
      <c r="Y72" s="38"/>
      <c r="Z72" s="37"/>
      <c r="AA72" s="39"/>
      <c r="AB72" s="39"/>
      <c r="AC72" s="40"/>
      <c r="AD72" s="36"/>
      <c r="AE72" s="37"/>
      <c r="AF72" s="38"/>
      <c r="AG72" s="37"/>
      <c r="AH72" s="39"/>
      <c r="AI72" s="39"/>
      <c r="AJ72" s="40"/>
      <c r="AK72" s="8"/>
      <c r="AL72" s="8"/>
    </row>
    <row r="73" spans="1:38">
      <c r="A73" s="8"/>
      <c r="B73" s="36"/>
      <c r="C73" s="37"/>
      <c r="D73" s="38"/>
      <c r="E73" s="37"/>
      <c r="F73" s="39"/>
      <c r="G73" s="39"/>
      <c r="H73" s="40"/>
      <c r="I73" s="36"/>
      <c r="J73" s="37"/>
      <c r="K73" s="38"/>
      <c r="L73" s="37"/>
      <c r="M73" s="39"/>
      <c r="N73" s="39"/>
      <c r="O73" s="40"/>
      <c r="P73" s="36"/>
      <c r="Q73" s="37"/>
      <c r="R73" s="38"/>
      <c r="S73" s="37"/>
      <c r="T73" s="39"/>
      <c r="U73" s="39"/>
      <c r="V73" s="40"/>
      <c r="W73" s="36"/>
      <c r="X73" s="37"/>
      <c r="Y73" s="38"/>
      <c r="Z73" s="37"/>
      <c r="AA73" s="39"/>
      <c r="AB73" s="39"/>
      <c r="AC73" s="40"/>
      <c r="AD73" s="36"/>
      <c r="AE73" s="37"/>
      <c r="AF73" s="38"/>
      <c r="AG73" s="37"/>
      <c r="AH73" s="39"/>
      <c r="AI73" s="39"/>
      <c r="AJ73" s="40"/>
      <c r="AK73" s="8"/>
      <c r="AL73" s="8"/>
    </row>
    <row r="74" spans="1:38">
      <c r="A74" s="8"/>
      <c r="B74" s="36"/>
      <c r="C74" s="37"/>
      <c r="D74" s="38"/>
      <c r="E74" s="37" t="s">
        <v>9</v>
      </c>
      <c r="F74" s="39"/>
      <c r="G74" s="39"/>
      <c r="H74" s="40"/>
      <c r="I74" s="36"/>
      <c r="J74" s="37"/>
      <c r="K74" s="38"/>
      <c r="L74" s="37" t="s">
        <v>9</v>
      </c>
      <c r="M74" s="39"/>
      <c r="N74" s="39"/>
      <c r="O74" s="40"/>
      <c r="P74" s="36"/>
      <c r="Q74" s="37"/>
      <c r="R74" s="38"/>
      <c r="S74" s="37" t="s">
        <v>9</v>
      </c>
      <c r="T74" s="39"/>
      <c r="U74" s="39"/>
      <c r="V74" s="40"/>
      <c r="W74" s="36"/>
      <c r="X74" s="37"/>
      <c r="Y74" s="38"/>
      <c r="Z74" s="37" t="s">
        <v>9</v>
      </c>
      <c r="AA74" s="39"/>
      <c r="AB74" s="39"/>
      <c r="AC74" s="40"/>
      <c r="AD74" s="36"/>
      <c r="AE74" s="37"/>
      <c r="AF74" s="38"/>
      <c r="AG74" s="37" t="s">
        <v>9</v>
      </c>
      <c r="AH74" s="39"/>
      <c r="AI74" s="39"/>
      <c r="AJ74" s="40"/>
      <c r="AK74" s="8"/>
      <c r="AL74" s="8"/>
    </row>
    <row r="75" spans="1:38">
      <c r="A75" s="8"/>
      <c r="B75" s="36"/>
      <c r="C75" s="37"/>
      <c r="D75" s="38"/>
      <c r="E75" s="37"/>
      <c r="F75" s="39"/>
      <c r="G75" s="39"/>
      <c r="H75" s="40"/>
      <c r="I75" s="36"/>
      <c r="J75" s="37"/>
      <c r="K75" s="38"/>
      <c r="L75" s="37"/>
      <c r="M75" s="39"/>
      <c r="N75" s="39"/>
      <c r="O75" s="40"/>
      <c r="P75" s="36"/>
      <c r="Q75" s="37"/>
      <c r="R75" s="38"/>
      <c r="S75" s="37"/>
      <c r="T75" s="39"/>
      <c r="U75" s="39"/>
      <c r="V75" s="40"/>
      <c r="W75" s="36"/>
      <c r="X75" s="37"/>
      <c r="Y75" s="38"/>
      <c r="Z75" s="37"/>
      <c r="AA75" s="39"/>
      <c r="AB75" s="39"/>
      <c r="AC75" s="40"/>
      <c r="AD75" s="36"/>
      <c r="AE75" s="37"/>
      <c r="AF75" s="38"/>
      <c r="AG75" s="37"/>
      <c r="AH75" s="39"/>
      <c r="AI75" s="39"/>
      <c r="AJ75" s="40"/>
      <c r="AK75" s="8"/>
      <c r="AL75" s="8"/>
    </row>
    <row r="76" spans="1:38">
      <c r="A76" s="8"/>
      <c r="B76" s="36"/>
      <c r="C76" s="37"/>
      <c r="D76" s="38"/>
      <c r="E76" s="37"/>
      <c r="F76" s="39"/>
      <c r="G76" s="39"/>
      <c r="H76" s="40"/>
      <c r="I76" s="36"/>
      <c r="J76" s="37"/>
      <c r="K76" s="38"/>
      <c r="L76" s="37"/>
      <c r="M76" s="39"/>
      <c r="N76" s="39"/>
      <c r="O76" s="40"/>
      <c r="P76" s="36"/>
      <c r="Q76" s="37"/>
      <c r="R76" s="38"/>
      <c r="S76" s="37"/>
      <c r="T76" s="39"/>
      <c r="U76" s="39"/>
      <c r="V76" s="40"/>
      <c r="W76" s="36"/>
      <c r="X76" s="37"/>
      <c r="Y76" s="38"/>
      <c r="Z76" s="37"/>
      <c r="AA76" s="39"/>
      <c r="AB76" s="39"/>
      <c r="AC76" s="40"/>
      <c r="AD76" s="36"/>
      <c r="AE76" s="37"/>
      <c r="AF76" s="38"/>
      <c r="AG76" s="37"/>
      <c r="AH76" s="39"/>
      <c r="AI76" s="39"/>
      <c r="AJ76" s="40"/>
      <c r="AK76" s="8"/>
      <c r="AL76" s="8"/>
    </row>
    <row r="77" spans="1:38">
      <c r="A77" s="8"/>
      <c r="B77" s="36"/>
      <c r="C77" s="37"/>
      <c r="D77" s="38"/>
      <c r="E77" s="37"/>
      <c r="F77" s="39"/>
      <c r="G77" s="39"/>
      <c r="H77" s="40"/>
      <c r="I77" s="36"/>
      <c r="J77" s="37"/>
      <c r="K77" s="38"/>
      <c r="L77" s="37"/>
      <c r="M77" s="39"/>
      <c r="N77" s="39"/>
      <c r="O77" s="40"/>
      <c r="P77" s="36"/>
      <c r="Q77" s="37"/>
      <c r="R77" s="38"/>
      <c r="S77" s="37"/>
      <c r="T77" s="39"/>
      <c r="U77" s="39"/>
      <c r="V77" s="40"/>
      <c r="W77" s="36"/>
      <c r="X77" s="37"/>
      <c r="Y77" s="38"/>
      <c r="Z77" s="37"/>
      <c r="AA77" s="39"/>
      <c r="AB77" s="39"/>
      <c r="AC77" s="40"/>
      <c r="AD77" s="36"/>
      <c r="AE77" s="37"/>
      <c r="AF77" s="38"/>
      <c r="AG77" s="37"/>
      <c r="AH77" s="39"/>
      <c r="AI77" s="39"/>
      <c r="AJ77" s="40"/>
      <c r="AK77" s="8"/>
      <c r="AL77" s="8"/>
    </row>
    <row r="78" spans="1:38">
      <c r="A78" s="8"/>
      <c r="B78" s="36"/>
      <c r="C78" s="37"/>
      <c r="D78" s="38"/>
      <c r="E78" s="37"/>
      <c r="F78" s="39"/>
      <c r="G78" s="39"/>
      <c r="H78" s="40"/>
      <c r="I78" s="36"/>
      <c r="J78" s="37"/>
      <c r="K78" s="38"/>
      <c r="L78" s="37"/>
      <c r="M78" s="39"/>
      <c r="N78" s="39"/>
      <c r="O78" s="40"/>
      <c r="P78" s="36"/>
      <c r="Q78" s="37"/>
      <c r="R78" s="38"/>
      <c r="S78" s="37"/>
      <c r="T78" s="39"/>
      <c r="U78" s="39"/>
      <c r="V78" s="40"/>
      <c r="W78" s="36"/>
      <c r="X78" s="37"/>
      <c r="Y78" s="38"/>
      <c r="Z78" s="37"/>
      <c r="AA78" s="39"/>
      <c r="AB78" s="39"/>
      <c r="AC78" s="40"/>
      <c r="AD78" s="36"/>
      <c r="AE78" s="37"/>
      <c r="AF78" s="38"/>
      <c r="AG78" s="37"/>
      <c r="AH78" s="39"/>
      <c r="AI78" s="39"/>
      <c r="AJ78" s="40"/>
      <c r="AK78" s="8"/>
      <c r="AL78" s="8"/>
    </row>
    <row r="79" spans="1:38" ht="17" thickBot="1">
      <c r="A79" s="8"/>
      <c r="B79" s="41"/>
      <c r="C79" s="42"/>
      <c r="D79" s="43"/>
      <c r="E79" s="42"/>
      <c r="F79" s="44"/>
      <c r="G79" s="44"/>
      <c r="H79" s="45"/>
      <c r="I79" s="41"/>
      <c r="J79" s="42"/>
      <c r="K79" s="43"/>
      <c r="L79" s="42"/>
      <c r="M79" s="44"/>
      <c r="N79" s="44"/>
      <c r="O79" s="45"/>
      <c r="P79" s="41"/>
      <c r="Q79" s="42"/>
      <c r="R79" s="43"/>
      <c r="S79" s="42"/>
      <c r="T79" s="44"/>
      <c r="U79" s="44"/>
      <c r="V79" s="45"/>
      <c r="W79" s="41"/>
      <c r="X79" s="42"/>
      <c r="Y79" s="43"/>
      <c r="Z79" s="42"/>
      <c r="AA79" s="44"/>
      <c r="AB79" s="44"/>
      <c r="AC79" s="45"/>
      <c r="AD79" s="41"/>
      <c r="AE79" s="42"/>
      <c r="AF79" s="43"/>
      <c r="AG79" s="42"/>
      <c r="AH79" s="44"/>
      <c r="AI79" s="44"/>
      <c r="AJ79" s="45"/>
      <c r="AK79" s="8"/>
      <c r="AL79" s="8"/>
    </row>
    <row r="80" spans="1:3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</row>
    <row r="81" spans="1:3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</row>
    <row r="82" spans="1:3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</row>
    <row r="83" spans="1:3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</row>
  </sheetData>
  <sheetProtection algorithmName="SHA-512" hashValue="IbgrOR5VV2kkqLKKQKTrw4nYY7WZc7uiiw6B/FvAavUdmNdKZTpb4teXarGvKewiM/yq96Q7iUgAD7rB3Q3d8w==" saltValue="UMhHWu9FoiZzgyKVGVo5sA==" spinCount="100000" sheet="1" objects="1" scenarios="1"/>
  <customSheetViews>
    <customSheetView guid="{37A1A5CD-453E-7045-9B11-D167516DD85F}" scale="41" showPageBreaks="1" view="pageBreakPreview">
      <pane ySplit="7" topLeftCell="A8" activePane="bottomLeft" state="frozen"/>
      <selection pane="bottomLeft" activeCell="AJ79" sqref="A1:AJ79"/>
    </customSheetView>
  </customSheetViews>
  <mergeCells count="41">
    <mergeCell ref="AD20:AI20"/>
    <mergeCell ref="AD32:AI32"/>
    <mergeCell ref="AD44:AI44"/>
    <mergeCell ref="AD56:AI56"/>
    <mergeCell ref="AD68:AI68"/>
    <mergeCell ref="W68:AB68"/>
    <mergeCell ref="W56:AB56"/>
    <mergeCell ref="W44:AB44"/>
    <mergeCell ref="W32:AB32"/>
    <mergeCell ref="W20:AB20"/>
    <mergeCell ref="P20:U20"/>
    <mergeCell ref="P32:U32"/>
    <mergeCell ref="P44:U44"/>
    <mergeCell ref="P56:U56"/>
    <mergeCell ref="P68:U68"/>
    <mergeCell ref="I20:N20"/>
    <mergeCell ref="I32:N32"/>
    <mergeCell ref="I44:N44"/>
    <mergeCell ref="I56:N56"/>
    <mergeCell ref="I68:N68"/>
    <mergeCell ref="B20:G20"/>
    <mergeCell ref="B32:G32"/>
    <mergeCell ref="B44:G44"/>
    <mergeCell ref="B56:G56"/>
    <mergeCell ref="B68:G68"/>
    <mergeCell ref="B8:G8"/>
    <mergeCell ref="I8:N8"/>
    <mergeCell ref="P8:U8"/>
    <mergeCell ref="W8:AB8"/>
    <mergeCell ref="AD8:AI8"/>
    <mergeCell ref="B1:D1"/>
    <mergeCell ref="AM1:AO1"/>
    <mergeCell ref="AM2:AM3"/>
    <mergeCell ref="AN2:AN3"/>
    <mergeCell ref="AM5:AM6"/>
    <mergeCell ref="AN5:AN6"/>
    <mergeCell ref="B2:H2"/>
    <mergeCell ref="I2:O2"/>
    <mergeCell ref="P2:V2"/>
    <mergeCell ref="W2:AC2"/>
    <mergeCell ref="AD2:AJ2"/>
  </mergeCells>
  <conditionalFormatting sqref="C9:C19">
    <cfRule type="containsText" dxfId="637" priority="320" operator="containsText" text="ONE">
      <formula>NOT(ISERROR(SEARCH("ONE",C9)))</formula>
    </cfRule>
    <cfRule type="containsText" dxfId="636" priority="321" operator="containsText" text="GEM">
      <formula>NOT(ISERROR(SEARCH("GEM",C9)))</formula>
    </cfRule>
    <cfRule type="containsText" dxfId="635" priority="322" operator="containsText" text="ANIMAX">
      <formula>NOT(ISERROR(SEARCH("ANIMAX",C9)))</formula>
    </cfRule>
    <cfRule type="containsText" dxfId="634" priority="323" operator="containsText" text="AXN TW">
      <formula>NOT(ISERROR(SEARCH("AXN TW",C9)))</formula>
    </cfRule>
    <cfRule type="containsText" dxfId="633" priority="324" operator="containsText" text="AXN">
      <formula>NOT(ISERROR(SEARCH("AXN",C9)))</formula>
    </cfRule>
  </conditionalFormatting>
  <conditionalFormatting sqref="E9:E19">
    <cfRule type="containsText" dxfId="632" priority="317" stopIfTrue="1" operator="containsText" text="Master">
      <formula>NOT(ISERROR(SEARCH("Master",E9)))</formula>
    </cfRule>
    <cfRule type="containsText" dxfId="631" priority="318" stopIfTrue="1" operator="containsText" text="Freelance Audio">
      <formula>NOT(ISERROR(SEARCH("Freelance Audio",E9)))</formula>
    </cfRule>
    <cfRule type="containsText" dxfId="630" priority="319" stopIfTrue="1" operator="containsText" text="Audio">
      <formula>NOT(ISERROR(SEARCH("Audio",E9)))</formula>
    </cfRule>
  </conditionalFormatting>
  <conditionalFormatting sqref="J9:J19">
    <cfRule type="containsText" dxfId="629" priority="312" operator="containsText" text="ONE">
      <formula>NOT(ISERROR(SEARCH("ONE",J9)))</formula>
    </cfRule>
    <cfRule type="containsText" dxfId="628" priority="313" operator="containsText" text="GEM">
      <formula>NOT(ISERROR(SEARCH("GEM",J9)))</formula>
    </cfRule>
    <cfRule type="containsText" dxfId="627" priority="314" operator="containsText" text="ANIMAX">
      <formula>NOT(ISERROR(SEARCH("ANIMAX",J9)))</formula>
    </cfRule>
    <cfRule type="containsText" dxfId="626" priority="315" operator="containsText" text="AXN TW">
      <formula>NOT(ISERROR(SEARCH("AXN TW",J9)))</formula>
    </cfRule>
    <cfRule type="containsText" dxfId="625" priority="316" operator="containsText" text="AXN">
      <formula>NOT(ISERROR(SEARCH("AXN",J9)))</formula>
    </cfRule>
  </conditionalFormatting>
  <conditionalFormatting sqref="L9:L19">
    <cfRule type="containsText" dxfId="624" priority="309" stopIfTrue="1" operator="containsText" text="Master">
      <formula>NOT(ISERROR(SEARCH("Master",L9)))</formula>
    </cfRule>
    <cfRule type="containsText" dxfId="623" priority="310" stopIfTrue="1" operator="containsText" text="Freelance Audio">
      <formula>NOT(ISERROR(SEARCH("Freelance Audio",L9)))</formula>
    </cfRule>
    <cfRule type="containsText" dxfId="622" priority="311" stopIfTrue="1" operator="containsText" text="Audio">
      <formula>NOT(ISERROR(SEARCH("Audio",L9)))</formula>
    </cfRule>
  </conditionalFormatting>
  <conditionalFormatting sqref="Q9:Q19">
    <cfRule type="containsText" dxfId="621" priority="304" operator="containsText" text="ONE">
      <formula>NOT(ISERROR(SEARCH("ONE",Q9)))</formula>
    </cfRule>
    <cfRule type="containsText" dxfId="620" priority="305" operator="containsText" text="GEM">
      <formula>NOT(ISERROR(SEARCH("GEM",Q9)))</formula>
    </cfRule>
    <cfRule type="containsText" dxfId="619" priority="306" operator="containsText" text="ANIMAX">
      <formula>NOT(ISERROR(SEARCH("ANIMAX",Q9)))</formula>
    </cfRule>
    <cfRule type="containsText" dxfId="618" priority="307" operator="containsText" text="AXN TW">
      <formula>NOT(ISERROR(SEARCH("AXN TW",Q9)))</formula>
    </cfRule>
    <cfRule type="containsText" dxfId="617" priority="308" operator="containsText" text="AXN">
      <formula>NOT(ISERROR(SEARCH("AXN",Q9)))</formula>
    </cfRule>
  </conditionalFormatting>
  <conditionalFormatting sqref="S9:S19">
    <cfRule type="containsText" dxfId="616" priority="301" stopIfTrue="1" operator="containsText" text="Master">
      <formula>NOT(ISERROR(SEARCH("Master",S9)))</formula>
    </cfRule>
    <cfRule type="containsText" dxfId="615" priority="302" stopIfTrue="1" operator="containsText" text="Freelance Audio">
      <formula>NOT(ISERROR(SEARCH("Freelance Audio",S9)))</formula>
    </cfRule>
    <cfRule type="containsText" dxfId="614" priority="303" stopIfTrue="1" operator="containsText" text="Audio">
      <formula>NOT(ISERROR(SEARCH("Audio",S9)))</formula>
    </cfRule>
  </conditionalFormatting>
  <conditionalFormatting sqref="X9:X19">
    <cfRule type="containsText" dxfId="613" priority="296" operator="containsText" text="ONE">
      <formula>NOT(ISERROR(SEARCH("ONE",X9)))</formula>
    </cfRule>
    <cfRule type="containsText" dxfId="612" priority="297" operator="containsText" text="GEM">
      <formula>NOT(ISERROR(SEARCH("GEM",X9)))</formula>
    </cfRule>
    <cfRule type="containsText" dxfId="611" priority="298" operator="containsText" text="ANIMAX">
      <formula>NOT(ISERROR(SEARCH("ANIMAX",X9)))</formula>
    </cfRule>
    <cfRule type="containsText" dxfId="610" priority="299" operator="containsText" text="AXN TW">
      <formula>NOT(ISERROR(SEARCH("AXN TW",X9)))</formula>
    </cfRule>
    <cfRule type="containsText" dxfId="609" priority="300" operator="containsText" text="AXN">
      <formula>NOT(ISERROR(SEARCH("AXN",X9)))</formula>
    </cfRule>
  </conditionalFormatting>
  <conditionalFormatting sqref="Z9:Z19">
    <cfRule type="containsText" dxfId="608" priority="293" stopIfTrue="1" operator="containsText" text="Master">
      <formula>NOT(ISERROR(SEARCH("Master",Z9)))</formula>
    </cfRule>
    <cfRule type="containsText" dxfId="607" priority="294" stopIfTrue="1" operator="containsText" text="Freelance Audio">
      <formula>NOT(ISERROR(SEARCH("Freelance Audio",Z9)))</formula>
    </cfRule>
    <cfRule type="containsText" dxfId="606" priority="295" stopIfTrue="1" operator="containsText" text="Audio">
      <formula>NOT(ISERROR(SEARCH("Audio",Z9)))</formula>
    </cfRule>
  </conditionalFormatting>
  <conditionalFormatting sqref="AE9:AE19">
    <cfRule type="containsText" dxfId="605" priority="288" operator="containsText" text="ONE">
      <formula>NOT(ISERROR(SEARCH("ONE",AE9)))</formula>
    </cfRule>
    <cfRule type="containsText" dxfId="604" priority="289" operator="containsText" text="GEM">
      <formula>NOT(ISERROR(SEARCH("GEM",AE9)))</formula>
    </cfRule>
    <cfRule type="containsText" dxfId="603" priority="290" operator="containsText" text="ANIMAX">
      <formula>NOT(ISERROR(SEARCH("ANIMAX",AE9)))</formula>
    </cfRule>
    <cfRule type="containsText" dxfId="602" priority="291" operator="containsText" text="AXN TW">
      <formula>NOT(ISERROR(SEARCH("AXN TW",AE9)))</formula>
    </cfRule>
    <cfRule type="containsText" dxfId="601" priority="292" operator="containsText" text="AXN">
      <formula>NOT(ISERROR(SEARCH("AXN",AE9)))</formula>
    </cfRule>
  </conditionalFormatting>
  <conditionalFormatting sqref="AG9:AG19">
    <cfRule type="containsText" dxfId="600" priority="285" stopIfTrue="1" operator="containsText" text="Master">
      <formula>NOT(ISERROR(SEARCH("Master",AG9)))</formula>
    </cfRule>
    <cfRule type="containsText" dxfId="599" priority="286" stopIfTrue="1" operator="containsText" text="Freelance Audio">
      <formula>NOT(ISERROR(SEARCH("Freelance Audio",AG9)))</formula>
    </cfRule>
    <cfRule type="containsText" dxfId="598" priority="287" stopIfTrue="1" operator="containsText" text="Audio">
      <formula>NOT(ISERROR(SEARCH("Audio",AG9)))</formula>
    </cfRule>
  </conditionalFormatting>
  <conditionalFormatting sqref="C21:C31">
    <cfRule type="containsText" dxfId="597" priority="280" operator="containsText" text="ONE">
      <formula>NOT(ISERROR(SEARCH("ONE",C21)))</formula>
    </cfRule>
    <cfRule type="containsText" dxfId="596" priority="281" operator="containsText" text="GEM">
      <formula>NOT(ISERROR(SEARCH("GEM",C21)))</formula>
    </cfRule>
    <cfRule type="containsText" dxfId="595" priority="282" operator="containsText" text="ANIMAX">
      <formula>NOT(ISERROR(SEARCH("ANIMAX",C21)))</formula>
    </cfRule>
    <cfRule type="containsText" dxfId="594" priority="283" operator="containsText" text="AXN TW">
      <formula>NOT(ISERROR(SEARCH("AXN TW",C21)))</formula>
    </cfRule>
    <cfRule type="containsText" dxfId="593" priority="284" operator="containsText" text="AXN">
      <formula>NOT(ISERROR(SEARCH("AXN",C21)))</formula>
    </cfRule>
  </conditionalFormatting>
  <conditionalFormatting sqref="E21:E31">
    <cfRule type="containsText" dxfId="592" priority="277" stopIfTrue="1" operator="containsText" text="Master">
      <formula>NOT(ISERROR(SEARCH("Master",E21)))</formula>
    </cfRule>
    <cfRule type="containsText" dxfId="591" priority="278" stopIfTrue="1" operator="containsText" text="Freelance Audio">
      <formula>NOT(ISERROR(SEARCH("Freelance Audio",E21)))</formula>
    </cfRule>
    <cfRule type="containsText" dxfId="590" priority="279" stopIfTrue="1" operator="containsText" text="Audio">
      <formula>NOT(ISERROR(SEARCH("Audio",E21)))</formula>
    </cfRule>
  </conditionalFormatting>
  <conditionalFormatting sqref="J21:J31">
    <cfRule type="containsText" dxfId="589" priority="272" operator="containsText" text="ONE">
      <formula>NOT(ISERROR(SEARCH("ONE",J21)))</formula>
    </cfRule>
    <cfRule type="containsText" dxfId="588" priority="273" operator="containsText" text="GEM">
      <formula>NOT(ISERROR(SEARCH("GEM",J21)))</formula>
    </cfRule>
    <cfRule type="containsText" dxfId="587" priority="274" operator="containsText" text="ANIMAX">
      <formula>NOT(ISERROR(SEARCH("ANIMAX",J21)))</formula>
    </cfRule>
    <cfRule type="containsText" dxfId="586" priority="275" operator="containsText" text="AXN TW">
      <formula>NOT(ISERROR(SEARCH("AXN TW",J21)))</formula>
    </cfRule>
    <cfRule type="containsText" dxfId="585" priority="276" operator="containsText" text="AXN">
      <formula>NOT(ISERROR(SEARCH("AXN",J21)))</formula>
    </cfRule>
  </conditionalFormatting>
  <conditionalFormatting sqref="L21:L31">
    <cfRule type="containsText" dxfId="584" priority="269" stopIfTrue="1" operator="containsText" text="Master">
      <formula>NOT(ISERROR(SEARCH("Master",L21)))</formula>
    </cfRule>
    <cfRule type="containsText" dxfId="583" priority="270" stopIfTrue="1" operator="containsText" text="Freelance Audio">
      <formula>NOT(ISERROR(SEARCH("Freelance Audio",L21)))</formula>
    </cfRule>
    <cfRule type="containsText" dxfId="582" priority="271" stopIfTrue="1" operator="containsText" text="Audio">
      <formula>NOT(ISERROR(SEARCH("Audio",L21)))</formula>
    </cfRule>
  </conditionalFormatting>
  <conditionalFormatting sqref="Q21:Q31">
    <cfRule type="containsText" dxfId="581" priority="264" operator="containsText" text="ONE">
      <formula>NOT(ISERROR(SEARCH("ONE",Q21)))</formula>
    </cfRule>
    <cfRule type="containsText" dxfId="580" priority="265" operator="containsText" text="GEM">
      <formula>NOT(ISERROR(SEARCH("GEM",Q21)))</formula>
    </cfRule>
    <cfRule type="containsText" dxfId="579" priority="266" operator="containsText" text="ANIMAX">
      <formula>NOT(ISERROR(SEARCH("ANIMAX",Q21)))</formula>
    </cfRule>
    <cfRule type="containsText" dxfId="578" priority="267" operator="containsText" text="AXN TW">
      <formula>NOT(ISERROR(SEARCH("AXN TW",Q21)))</formula>
    </cfRule>
    <cfRule type="containsText" dxfId="577" priority="268" operator="containsText" text="AXN">
      <formula>NOT(ISERROR(SEARCH("AXN",Q21)))</formula>
    </cfRule>
  </conditionalFormatting>
  <conditionalFormatting sqref="S21:S31">
    <cfRule type="containsText" dxfId="576" priority="261" stopIfTrue="1" operator="containsText" text="Master">
      <formula>NOT(ISERROR(SEARCH("Master",S21)))</formula>
    </cfRule>
    <cfRule type="containsText" dxfId="575" priority="262" stopIfTrue="1" operator="containsText" text="Freelance Audio">
      <formula>NOT(ISERROR(SEARCH("Freelance Audio",S21)))</formula>
    </cfRule>
    <cfRule type="containsText" dxfId="574" priority="263" stopIfTrue="1" operator="containsText" text="Audio">
      <formula>NOT(ISERROR(SEARCH("Audio",S21)))</formula>
    </cfRule>
  </conditionalFormatting>
  <conditionalFormatting sqref="X21:X31">
    <cfRule type="containsText" dxfId="573" priority="256" operator="containsText" text="ONE">
      <formula>NOT(ISERROR(SEARCH("ONE",X21)))</formula>
    </cfRule>
    <cfRule type="containsText" dxfId="572" priority="257" operator="containsText" text="GEM">
      <formula>NOT(ISERROR(SEARCH("GEM",X21)))</formula>
    </cfRule>
    <cfRule type="containsText" dxfId="571" priority="258" operator="containsText" text="ANIMAX">
      <formula>NOT(ISERROR(SEARCH("ANIMAX",X21)))</formula>
    </cfRule>
    <cfRule type="containsText" dxfId="570" priority="259" operator="containsText" text="AXN TW">
      <formula>NOT(ISERROR(SEARCH("AXN TW",X21)))</formula>
    </cfRule>
    <cfRule type="containsText" dxfId="569" priority="260" operator="containsText" text="AXN">
      <formula>NOT(ISERROR(SEARCH("AXN",X21)))</formula>
    </cfRule>
  </conditionalFormatting>
  <conditionalFormatting sqref="Z21:Z31">
    <cfRule type="containsText" dxfId="568" priority="253" stopIfTrue="1" operator="containsText" text="Master">
      <formula>NOT(ISERROR(SEARCH("Master",Z21)))</formula>
    </cfRule>
    <cfRule type="containsText" dxfId="567" priority="254" stopIfTrue="1" operator="containsText" text="Freelance Audio">
      <formula>NOT(ISERROR(SEARCH("Freelance Audio",Z21)))</formula>
    </cfRule>
    <cfRule type="containsText" dxfId="566" priority="255" stopIfTrue="1" operator="containsText" text="Audio">
      <formula>NOT(ISERROR(SEARCH("Audio",Z21)))</formula>
    </cfRule>
  </conditionalFormatting>
  <conditionalFormatting sqref="AE21:AE31">
    <cfRule type="containsText" dxfId="565" priority="248" operator="containsText" text="ONE">
      <formula>NOT(ISERROR(SEARCH("ONE",AE21)))</formula>
    </cfRule>
    <cfRule type="containsText" dxfId="564" priority="249" operator="containsText" text="GEM">
      <formula>NOT(ISERROR(SEARCH("GEM",AE21)))</formula>
    </cfRule>
    <cfRule type="containsText" dxfId="563" priority="250" operator="containsText" text="ANIMAX">
      <formula>NOT(ISERROR(SEARCH("ANIMAX",AE21)))</formula>
    </cfRule>
    <cfRule type="containsText" dxfId="562" priority="251" operator="containsText" text="AXN TW">
      <formula>NOT(ISERROR(SEARCH("AXN TW",AE21)))</formula>
    </cfRule>
    <cfRule type="containsText" dxfId="561" priority="252" operator="containsText" text="AXN">
      <formula>NOT(ISERROR(SEARCH("AXN",AE21)))</formula>
    </cfRule>
  </conditionalFormatting>
  <conditionalFormatting sqref="AG21:AG31">
    <cfRule type="containsText" dxfId="560" priority="245" stopIfTrue="1" operator="containsText" text="Master">
      <formula>NOT(ISERROR(SEARCH("Master",AG21)))</formula>
    </cfRule>
    <cfRule type="containsText" dxfId="559" priority="246" stopIfTrue="1" operator="containsText" text="Freelance Audio">
      <formula>NOT(ISERROR(SEARCH("Freelance Audio",AG21)))</formula>
    </cfRule>
    <cfRule type="containsText" dxfId="558" priority="247" stopIfTrue="1" operator="containsText" text="Audio">
      <formula>NOT(ISERROR(SEARCH("Audio",AG21)))</formula>
    </cfRule>
  </conditionalFormatting>
  <conditionalFormatting sqref="C33:C43">
    <cfRule type="containsText" dxfId="557" priority="240" operator="containsText" text="ONE">
      <formula>NOT(ISERROR(SEARCH("ONE",C33)))</formula>
    </cfRule>
    <cfRule type="containsText" dxfId="556" priority="241" operator="containsText" text="GEM">
      <formula>NOT(ISERROR(SEARCH("GEM",C33)))</formula>
    </cfRule>
    <cfRule type="containsText" dxfId="555" priority="242" operator="containsText" text="ANIMAX">
      <formula>NOT(ISERROR(SEARCH("ANIMAX",C33)))</formula>
    </cfRule>
    <cfRule type="containsText" dxfId="554" priority="243" operator="containsText" text="AXN TW">
      <formula>NOT(ISERROR(SEARCH("AXN TW",C33)))</formula>
    </cfRule>
    <cfRule type="containsText" dxfId="553" priority="244" operator="containsText" text="AXN">
      <formula>NOT(ISERROR(SEARCH("AXN",C33)))</formula>
    </cfRule>
  </conditionalFormatting>
  <conditionalFormatting sqref="E33:E43">
    <cfRule type="containsText" dxfId="552" priority="237" stopIfTrue="1" operator="containsText" text="Master">
      <formula>NOT(ISERROR(SEARCH("Master",E33)))</formula>
    </cfRule>
    <cfRule type="containsText" dxfId="551" priority="238" stopIfTrue="1" operator="containsText" text="Freelance Audio">
      <formula>NOT(ISERROR(SEARCH("Freelance Audio",E33)))</formula>
    </cfRule>
    <cfRule type="containsText" dxfId="550" priority="239" stopIfTrue="1" operator="containsText" text="Audio">
      <formula>NOT(ISERROR(SEARCH("Audio",E33)))</formula>
    </cfRule>
  </conditionalFormatting>
  <conditionalFormatting sqref="J33:J43">
    <cfRule type="containsText" dxfId="549" priority="232" operator="containsText" text="ONE">
      <formula>NOT(ISERROR(SEARCH("ONE",J33)))</formula>
    </cfRule>
    <cfRule type="containsText" dxfId="548" priority="233" operator="containsText" text="GEM">
      <formula>NOT(ISERROR(SEARCH("GEM",J33)))</formula>
    </cfRule>
    <cfRule type="containsText" dxfId="547" priority="234" operator="containsText" text="ANIMAX">
      <formula>NOT(ISERROR(SEARCH("ANIMAX",J33)))</formula>
    </cfRule>
    <cfRule type="containsText" dxfId="546" priority="235" operator="containsText" text="AXN TW">
      <formula>NOT(ISERROR(SEARCH("AXN TW",J33)))</formula>
    </cfRule>
    <cfRule type="containsText" dxfId="545" priority="236" operator="containsText" text="AXN">
      <formula>NOT(ISERROR(SEARCH("AXN",J33)))</formula>
    </cfRule>
  </conditionalFormatting>
  <conditionalFormatting sqref="L33:L43">
    <cfRule type="containsText" dxfId="544" priority="229" stopIfTrue="1" operator="containsText" text="Master">
      <formula>NOT(ISERROR(SEARCH("Master",L33)))</formula>
    </cfRule>
    <cfRule type="containsText" dxfId="543" priority="230" stopIfTrue="1" operator="containsText" text="Freelance Audio">
      <formula>NOT(ISERROR(SEARCH("Freelance Audio",L33)))</formula>
    </cfRule>
    <cfRule type="containsText" dxfId="542" priority="231" stopIfTrue="1" operator="containsText" text="Audio">
      <formula>NOT(ISERROR(SEARCH("Audio",L33)))</formula>
    </cfRule>
  </conditionalFormatting>
  <conditionalFormatting sqref="Q33:Q43">
    <cfRule type="containsText" dxfId="541" priority="224" operator="containsText" text="ONE">
      <formula>NOT(ISERROR(SEARCH("ONE",Q33)))</formula>
    </cfRule>
    <cfRule type="containsText" dxfId="540" priority="225" operator="containsText" text="GEM">
      <formula>NOT(ISERROR(SEARCH("GEM",Q33)))</formula>
    </cfRule>
    <cfRule type="containsText" dxfId="539" priority="226" operator="containsText" text="ANIMAX">
      <formula>NOT(ISERROR(SEARCH("ANIMAX",Q33)))</formula>
    </cfRule>
    <cfRule type="containsText" dxfId="538" priority="227" operator="containsText" text="AXN TW">
      <formula>NOT(ISERROR(SEARCH("AXN TW",Q33)))</formula>
    </cfRule>
    <cfRule type="containsText" dxfId="537" priority="228" operator="containsText" text="AXN">
      <formula>NOT(ISERROR(SEARCH("AXN",Q33)))</formula>
    </cfRule>
  </conditionalFormatting>
  <conditionalFormatting sqref="S33:S43">
    <cfRule type="containsText" dxfId="536" priority="221" stopIfTrue="1" operator="containsText" text="Master">
      <formula>NOT(ISERROR(SEARCH("Master",S33)))</formula>
    </cfRule>
    <cfRule type="containsText" dxfId="535" priority="222" stopIfTrue="1" operator="containsText" text="Freelance Audio">
      <formula>NOT(ISERROR(SEARCH("Freelance Audio",S33)))</formula>
    </cfRule>
    <cfRule type="containsText" dxfId="534" priority="223" stopIfTrue="1" operator="containsText" text="Audio">
      <formula>NOT(ISERROR(SEARCH("Audio",S33)))</formula>
    </cfRule>
  </conditionalFormatting>
  <conditionalFormatting sqref="X33:X43">
    <cfRule type="containsText" dxfId="533" priority="216" operator="containsText" text="ONE">
      <formula>NOT(ISERROR(SEARCH("ONE",X33)))</formula>
    </cfRule>
    <cfRule type="containsText" dxfId="532" priority="217" operator="containsText" text="GEM">
      <formula>NOT(ISERROR(SEARCH("GEM",X33)))</formula>
    </cfRule>
    <cfRule type="containsText" dxfId="531" priority="218" operator="containsText" text="ANIMAX">
      <formula>NOT(ISERROR(SEARCH("ANIMAX",X33)))</formula>
    </cfRule>
    <cfRule type="containsText" dxfId="530" priority="219" operator="containsText" text="AXN TW">
      <formula>NOT(ISERROR(SEARCH("AXN TW",X33)))</formula>
    </cfRule>
    <cfRule type="containsText" dxfId="529" priority="220" operator="containsText" text="AXN">
      <formula>NOT(ISERROR(SEARCH("AXN",X33)))</formula>
    </cfRule>
  </conditionalFormatting>
  <conditionalFormatting sqref="Z33:Z43">
    <cfRule type="containsText" dxfId="528" priority="213" stopIfTrue="1" operator="containsText" text="Master">
      <formula>NOT(ISERROR(SEARCH("Master",Z33)))</formula>
    </cfRule>
    <cfRule type="containsText" dxfId="527" priority="214" stopIfTrue="1" operator="containsText" text="Freelance Audio">
      <formula>NOT(ISERROR(SEARCH("Freelance Audio",Z33)))</formula>
    </cfRule>
    <cfRule type="containsText" dxfId="526" priority="215" stopIfTrue="1" operator="containsText" text="Audio">
      <formula>NOT(ISERROR(SEARCH("Audio",Z33)))</formula>
    </cfRule>
  </conditionalFormatting>
  <conditionalFormatting sqref="AE33:AE43">
    <cfRule type="containsText" dxfId="525" priority="208" operator="containsText" text="ONE">
      <formula>NOT(ISERROR(SEARCH("ONE",AE33)))</formula>
    </cfRule>
    <cfRule type="containsText" dxfId="524" priority="209" operator="containsText" text="GEM">
      <formula>NOT(ISERROR(SEARCH("GEM",AE33)))</formula>
    </cfRule>
    <cfRule type="containsText" dxfId="523" priority="210" operator="containsText" text="ANIMAX">
      <formula>NOT(ISERROR(SEARCH("ANIMAX",AE33)))</formula>
    </cfRule>
    <cfRule type="containsText" dxfId="522" priority="211" operator="containsText" text="AXN TW">
      <formula>NOT(ISERROR(SEARCH("AXN TW",AE33)))</formula>
    </cfRule>
    <cfRule type="containsText" dxfId="521" priority="212" operator="containsText" text="AXN">
      <formula>NOT(ISERROR(SEARCH("AXN",AE33)))</formula>
    </cfRule>
  </conditionalFormatting>
  <conditionalFormatting sqref="AG33:AG43">
    <cfRule type="containsText" dxfId="520" priority="205" stopIfTrue="1" operator="containsText" text="Master">
      <formula>NOT(ISERROR(SEARCH("Master",AG33)))</formula>
    </cfRule>
    <cfRule type="containsText" dxfId="519" priority="206" stopIfTrue="1" operator="containsText" text="Freelance Audio">
      <formula>NOT(ISERROR(SEARCH("Freelance Audio",AG33)))</formula>
    </cfRule>
    <cfRule type="containsText" dxfId="518" priority="207" stopIfTrue="1" operator="containsText" text="Audio">
      <formula>NOT(ISERROR(SEARCH("Audio",AG33)))</formula>
    </cfRule>
  </conditionalFormatting>
  <conditionalFormatting sqref="C45:C55">
    <cfRule type="containsText" dxfId="517" priority="200" operator="containsText" text="ONE">
      <formula>NOT(ISERROR(SEARCH("ONE",C45)))</formula>
    </cfRule>
    <cfRule type="containsText" dxfId="516" priority="201" operator="containsText" text="GEM">
      <formula>NOT(ISERROR(SEARCH("GEM",C45)))</formula>
    </cfRule>
    <cfRule type="containsText" dxfId="515" priority="202" operator="containsText" text="ANIMAX">
      <formula>NOT(ISERROR(SEARCH("ANIMAX",C45)))</formula>
    </cfRule>
    <cfRule type="containsText" dxfId="514" priority="203" operator="containsText" text="AXN TW">
      <formula>NOT(ISERROR(SEARCH("AXN TW",C45)))</formula>
    </cfRule>
    <cfRule type="containsText" dxfId="513" priority="204" operator="containsText" text="AXN">
      <formula>NOT(ISERROR(SEARCH("AXN",C45)))</formula>
    </cfRule>
  </conditionalFormatting>
  <conditionalFormatting sqref="E45:E55">
    <cfRule type="containsText" dxfId="512" priority="197" stopIfTrue="1" operator="containsText" text="Master">
      <formula>NOT(ISERROR(SEARCH("Master",E45)))</formula>
    </cfRule>
    <cfRule type="containsText" dxfId="511" priority="198" stopIfTrue="1" operator="containsText" text="Freelance Audio">
      <formula>NOT(ISERROR(SEARCH("Freelance Audio",E45)))</formula>
    </cfRule>
    <cfRule type="containsText" dxfId="510" priority="199" stopIfTrue="1" operator="containsText" text="Audio">
      <formula>NOT(ISERROR(SEARCH("Audio",E45)))</formula>
    </cfRule>
  </conditionalFormatting>
  <conditionalFormatting sqref="J45:J55">
    <cfRule type="containsText" dxfId="509" priority="192" operator="containsText" text="ONE">
      <formula>NOT(ISERROR(SEARCH("ONE",J45)))</formula>
    </cfRule>
    <cfRule type="containsText" dxfId="508" priority="193" operator="containsText" text="GEM">
      <formula>NOT(ISERROR(SEARCH("GEM",J45)))</formula>
    </cfRule>
    <cfRule type="containsText" dxfId="507" priority="194" operator="containsText" text="ANIMAX">
      <formula>NOT(ISERROR(SEARCH("ANIMAX",J45)))</formula>
    </cfRule>
    <cfRule type="containsText" dxfId="506" priority="195" operator="containsText" text="AXN TW">
      <formula>NOT(ISERROR(SEARCH("AXN TW",J45)))</formula>
    </cfRule>
    <cfRule type="containsText" dxfId="505" priority="196" operator="containsText" text="AXN">
      <formula>NOT(ISERROR(SEARCH("AXN",J45)))</formula>
    </cfRule>
  </conditionalFormatting>
  <conditionalFormatting sqref="L45:L55">
    <cfRule type="containsText" dxfId="504" priority="189" stopIfTrue="1" operator="containsText" text="Master">
      <formula>NOT(ISERROR(SEARCH("Master",L45)))</formula>
    </cfRule>
    <cfRule type="containsText" dxfId="503" priority="190" stopIfTrue="1" operator="containsText" text="Freelance Audio">
      <formula>NOT(ISERROR(SEARCH("Freelance Audio",L45)))</formula>
    </cfRule>
    <cfRule type="containsText" dxfId="502" priority="191" stopIfTrue="1" operator="containsText" text="Audio">
      <formula>NOT(ISERROR(SEARCH("Audio",L45)))</formula>
    </cfRule>
  </conditionalFormatting>
  <conditionalFormatting sqref="Q45:Q55">
    <cfRule type="containsText" dxfId="501" priority="184" operator="containsText" text="ONE">
      <formula>NOT(ISERROR(SEARCH("ONE",Q45)))</formula>
    </cfRule>
    <cfRule type="containsText" dxfId="500" priority="185" operator="containsText" text="GEM">
      <formula>NOT(ISERROR(SEARCH("GEM",Q45)))</formula>
    </cfRule>
    <cfRule type="containsText" dxfId="499" priority="186" operator="containsText" text="ANIMAX">
      <formula>NOT(ISERROR(SEARCH("ANIMAX",Q45)))</formula>
    </cfRule>
    <cfRule type="containsText" dxfId="498" priority="187" operator="containsText" text="AXN TW">
      <formula>NOT(ISERROR(SEARCH("AXN TW",Q45)))</formula>
    </cfRule>
    <cfRule type="containsText" dxfId="497" priority="188" operator="containsText" text="AXN">
      <formula>NOT(ISERROR(SEARCH("AXN",Q45)))</formula>
    </cfRule>
  </conditionalFormatting>
  <conditionalFormatting sqref="S45:S55">
    <cfRule type="containsText" dxfId="496" priority="181" stopIfTrue="1" operator="containsText" text="Master">
      <formula>NOT(ISERROR(SEARCH("Master",S45)))</formula>
    </cfRule>
    <cfRule type="containsText" dxfId="495" priority="182" stopIfTrue="1" operator="containsText" text="Freelance Audio">
      <formula>NOT(ISERROR(SEARCH("Freelance Audio",S45)))</formula>
    </cfRule>
    <cfRule type="containsText" dxfId="494" priority="183" stopIfTrue="1" operator="containsText" text="Audio">
      <formula>NOT(ISERROR(SEARCH("Audio",S45)))</formula>
    </cfRule>
  </conditionalFormatting>
  <conditionalFormatting sqref="X45:X55">
    <cfRule type="containsText" dxfId="493" priority="176" operator="containsText" text="ONE">
      <formula>NOT(ISERROR(SEARCH("ONE",X45)))</formula>
    </cfRule>
    <cfRule type="containsText" dxfId="492" priority="177" operator="containsText" text="GEM">
      <formula>NOT(ISERROR(SEARCH("GEM",X45)))</formula>
    </cfRule>
    <cfRule type="containsText" dxfId="491" priority="178" operator="containsText" text="ANIMAX">
      <formula>NOT(ISERROR(SEARCH("ANIMAX",X45)))</formula>
    </cfRule>
    <cfRule type="containsText" dxfId="490" priority="179" operator="containsText" text="AXN TW">
      <formula>NOT(ISERROR(SEARCH("AXN TW",X45)))</formula>
    </cfRule>
    <cfRule type="containsText" dxfId="489" priority="180" operator="containsText" text="AXN">
      <formula>NOT(ISERROR(SEARCH("AXN",X45)))</formula>
    </cfRule>
  </conditionalFormatting>
  <conditionalFormatting sqref="Z45:Z55">
    <cfRule type="containsText" dxfId="488" priority="173" stopIfTrue="1" operator="containsText" text="Master">
      <formula>NOT(ISERROR(SEARCH("Master",Z45)))</formula>
    </cfRule>
    <cfRule type="containsText" dxfId="487" priority="174" stopIfTrue="1" operator="containsText" text="Freelance Audio">
      <formula>NOT(ISERROR(SEARCH("Freelance Audio",Z45)))</formula>
    </cfRule>
    <cfRule type="containsText" dxfId="486" priority="175" stopIfTrue="1" operator="containsText" text="Audio">
      <formula>NOT(ISERROR(SEARCH("Audio",Z45)))</formula>
    </cfRule>
  </conditionalFormatting>
  <conditionalFormatting sqref="AE45:AE55">
    <cfRule type="containsText" dxfId="485" priority="168" operator="containsText" text="ONE">
      <formula>NOT(ISERROR(SEARCH("ONE",AE45)))</formula>
    </cfRule>
    <cfRule type="containsText" dxfId="484" priority="169" operator="containsText" text="GEM">
      <formula>NOT(ISERROR(SEARCH("GEM",AE45)))</formula>
    </cfRule>
    <cfRule type="containsText" dxfId="483" priority="170" operator="containsText" text="ANIMAX">
      <formula>NOT(ISERROR(SEARCH("ANIMAX",AE45)))</formula>
    </cfRule>
    <cfRule type="containsText" dxfId="482" priority="171" operator="containsText" text="AXN TW">
      <formula>NOT(ISERROR(SEARCH("AXN TW",AE45)))</formula>
    </cfRule>
    <cfRule type="containsText" dxfId="481" priority="172" operator="containsText" text="AXN">
      <formula>NOT(ISERROR(SEARCH("AXN",AE45)))</formula>
    </cfRule>
  </conditionalFormatting>
  <conditionalFormatting sqref="AG45:AG55">
    <cfRule type="containsText" dxfId="480" priority="165" stopIfTrue="1" operator="containsText" text="Master">
      <formula>NOT(ISERROR(SEARCH("Master",AG45)))</formula>
    </cfRule>
    <cfRule type="containsText" dxfId="479" priority="166" stopIfTrue="1" operator="containsText" text="Freelance Audio">
      <formula>NOT(ISERROR(SEARCH("Freelance Audio",AG45)))</formula>
    </cfRule>
    <cfRule type="containsText" dxfId="478" priority="167" stopIfTrue="1" operator="containsText" text="Audio">
      <formula>NOT(ISERROR(SEARCH("Audio",AG45)))</formula>
    </cfRule>
  </conditionalFormatting>
  <conditionalFormatting sqref="C57:C67">
    <cfRule type="containsText" dxfId="477" priority="160" operator="containsText" text="ONE">
      <formula>NOT(ISERROR(SEARCH("ONE",C57)))</formula>
    </cfRule>
    <cfRule type="containsText" dxfId="476" priority="161" operator="containsText" text="GEM">
      <formula>NOT(ISERROR(SEARCH("GEM",C57)))</formula>
    </cfRule>
    <cfRule type="containsText" dxfId="475" priority="162" operator="containsText" text="ANIMAX">
      <formula>NOT(ISERROR(SEARCH("ANIMAX",C57)))</formula>
    </cfRule>
    <cfRule type="containsText" dxfId="474" priority="163" operator="containsText" text="AXN TW">
      <formula>NOT(ISERROR(SEARCH("AXN TW",C57)))</formula>
    </cfRule>
    <cfRule type="containsText" dxfId="473" priority="164" operator="containsText" text="AXN">
      <formula>NOT(ISERROR(SEARCH("AXN",C57)))</formula>
    </cfRule>
  </conditionalFormatting>
  <conditionalFormatting sqref="E57:E67">
    <cfRule type="containsText" dxfId="472" priority="157" stopIfTrue="1" operator="containsText" text="Master">
      <formula>NOT(ISERROR(SEARCH("Master",E57)))</formula>
    </cfRule>
    <cfRule type="containsText" dxfId="471" priority="158" stopIfTrue="1" operator="containsText" text="Freelance Audio">
      <formula>NOT(ISERROR(SEARCH("Freelance Audio",E57)))</formula>
    </cfRule>
    <cfRule type="containsText" dxfId="470" priority="159" stopIfTrue="1" operator="containsText" text="Audio">
      <formula>NOT(ISERROR(SEARCH("Audio",E57)))</formula>
    </cfRule>
  </conditionalFormatting>
  <conditionalFormatting sqref="J57:J67">
    <cfRule type="containsText" dxfId="469" priority="152" operator="containsText" text="ONE">
      <formula>NOT(ISERROR(SEARCH("ONE",J57)))</formula>
    </cfRule>
    <cfRule type="containsText" dxfId="468" priority="153" operator="containsText" text="GEM">
      <formula>NOT(ISERROR(SEARCH("GEM",J57)))</formula>
    </cfRule>
    <cfRule type="containsText" dxfId="467" priority="154" operator="containsText" text="ANIMAX">
      <formula>NOT(ISERROR(SEARCH("ANIMAX",J57)))</formula>
    </cfRule>
    <cfRule type="containsText" dxfId="466" priority="155" operator="containsText" text="AXN TW">
      <formula>NOT(ISERROR(SEARCH("AXN TW",J57)))</formula>
    </cfRule>
    <cfRule type="containsText" dxfId="465" priority="156" operator="containsText" text="AXN">
      <formula>NOT(ISERROR(SEARCH("AXN",J57)))</formula>
    </cfRule>
  </conditionalFormatting>
  <conditionalFormatting sqref="L57:L67">
    <cfRule type="containsText" dxfId="464" priority="149" stopIfTrue="1" operator="containsText" text="Master">
      <formula>NOT(ISERROR(SEARCH("Master",L57)))</formula>
    </cfRule>
    <cfRule type="containsText" dxfId="463" priority="150" stopIfTrue="1" operator="containsText" text="Freelance Audio">
      <formula>NOT(ISERROR(SEARCH("Freelance Audio",L57)))</formula>
    </cfRule>
    <cfRule type="containsText" dxfId="462" priority="151" stopIfTrue="1" operator="containsText" text="Audio">
      <formula>NOT(ISERROR(SEARCH("Audio",L57)))</formula>
    </cfRule>
  </conditionalFormatting>
  <conditionalFormatting sqref="Q57:Q67">
    <cfRule type="containsText" dxfId="461" priority="144" operator="containsText" text="ONE">
      <formula>NOT(ISERROR(SEARCH("ONE",Q57)))</formula>
    </cfRule>
    <cfRule type="containsText" dxfId="460" priority="145" operator="containsText" text="GEM">
      <formula>NOT(ISERROR(SEARCH("GEM",Q57)))</formula>
    </cfRule>
    <cfRule type="containsText" dxfId="459" priority="146" operator="containsText" text="ANIMAX">
      <formula>NOT(ISERROR(SEARCH("ANIMAX",Q57)))</formula>
    </cfRule>
    <cfRule type="containsText" dxfId="458" priority="147" operator="containsText" text="AXN TW">
      <formula>NOT(ISERROR(SEARCH("AXN TW",Q57)))</formula>
    </cfRule>
    <cfRule type="containsText" dxfId="457" priority="148" operator="containsText" text="AXN">
      <formula>NOT(ISERROR(SEARCH("AXN",Q57)))</formula>
    </cfRule>
  </conditionalFormatting>
  <conditionalFormatting sqref="S57:S67">
    <cfRule type="containsText" dxfId="456" priority="141" stopIfTrue="1" operator="containsText" text="Master">
      <formula>NOT(ISERROR(SEARCH("Master",S57)))</formula>
    </cfRule>
    <cfRule type="containsText" dxfId="455" priority="142" stopIfTrue="1" operator="containsText" text="Freelance Audio">
      <formula>NOT(ISERROR(SEARCH("Freelance Audio",S57)))</formula>
    </cfRule>
    <cfRule type="containsText" dxfId="454" priority="143" stopIfTrue="1" operator="containsText" text="Audio">
      <formula>NOT(ISERROR(SEARCH("Audio",S57)))</formula>
    </cfRule>
  </conditionalFormatting>
  <conditionalFormatting sqref="X57:X67">
    <cfRule type="containsText" dxfId="453" priority="136" operator="containsText" text="ONE">
      <formula>NOT(ISERROR(SEARCH("ONE",X57)))</formula>
    </cfRule>
    <cfRule type="containsText" dxfId="452" priority="137" operator="containsText" text="GEM">
      <formula>NOT(ISERROR(SEARCH("GEM",X57)))</formula>
    </cfRule>
    <cfRule type="containsText" dxfId="451" priority="138" operator="containsText" text="ANIMAX">
      <formula>NOT(ISERROR(SEARCH("ANIMAX",X57)))</formula>
    </cfRule>
    <cfRule type="containsText" dxfId="450" priority="139" operator="containsText" text="AXN TW">
      <formula>NOT(ISERROR(SEARCH("AXN TW",X57)))</formula>
    </cfRule>
    <cfRule type="containsText" dxfId="449" priority="140" operator="containsText" text="AXN">
      <formula>NOT(ISERROR(SEARCH("AXN",X57)))</formula>
    </cfRule>
  </conditionalFormatting>
  <conditionalFormatting sqref="Z57:Z67">
    <cfRule type="containsText" dxfId="448" priority="133" stopIfTrue="1" operator="containsText" text="Master">
      <formula>NOT(ISERROR(SEARCH("Master",Z57)))</formula>
    </cfRule>
    <cfRule type="containsText" dxfId="447" priority="134" stopIfTrue="1" operator="containsText" text="Freelance Audio">
      <formula>NOT(ISERROR(SEARCH("Freelance Audio",Z57)))</formula>
    </cfRule>
    <cfRule type="containsText" dxfId="446" priority="135" stopIfTrue="1" operator="containsText" text="Audio">
      <formula>NOT(ISERROR(SEARCH("Audio",Z57)))</formula>
    </cfRule>
  </conditionalFormatting>
  <conditionalFormatting sqref="AE57:AE67">
    <cfRule type="containsText" dxfId="445" priority="128" operator="containsText" text="ONE">
      <formula>NOT(ISERROR(SEARCH("ONE",AE57)))</formula>
    </cfRule>
    <cfRule type="containsText" dxfId="444" priority="129" operator="containsText" text="GEM">
      <formula>NOT(ISERROR(SEARCH("GEM",AE57)))</formula>
    </cfRule>
    <cfRule type="containsText" dxfId="443" priority="130" operator="containsText" text="ANIMAX">
      <formula>NOT(ISERROR(SEARCH("ANIMAX",AE57)))</formula>
    </cfRule>
    <cfRule type="containsText" dxfId="442" priority="131" operator="containsText" text="AXN TW">
      <formula>NOT(ISERROR(SEARCH("AXN TW",AE57)))</formula>
    </cfRule>
    <cfRule type="containsText" dxfId="441" priority="132" operator="containsText" text="AXN">
      <formula>NOT(ISERROR(SEARCH("AXN",AE57)))</formula>
    </cfRule>
  </conditionalFormatting>
  <conditionalFormatting sqref="AG57:AG67">
    <cfRule type="containsText" dxfId="440" priority="125" stopIfTrue="1" operator="containsText" text="Master">
      <formula>NOT(ISERROR(SEARCH("Master",AG57)))</formula>
    </cfRule>
    <cfRule type="containsText" dxfId="439" priority="126" stopIfTrue="1" operator="containsText" text="Freelance Audio">
      <formula>NOT(ISERROR(SEARCH("Freelance Audio",AG57)))</formula>
    </cfRule>
    <cfRule type="containsText" dxfId="438" priority="127" stopIfTrue="1" operator="containsText" text="Audio">
      <formula>NOT(ISERROR(SEARCH("Audio",AG57)))</formula>
    </cfRule>
  </conditionalFormatting>
  <conditionalFormatting sqref="C69:C79">
    <cfRule type="containsText" dxfId="437" priority="120" operator="containsText" text="ONE">
      <formula>NOT(ISERROR(SEARCH("ONE",C69)))</formula>
    </cfRule>
    <cfRule type="containsText" dxfId="436" priority="121" operator="containsText" text="GEM">
      <formula>NOT(ISERROR(SEARCH("GEM",C69)))</formula>
    </cfRule>
    <cfRule type="containsText" dxfId="435" priority="122" operator="containsText" text="ANIMAX">
      <formula>NOT(ISERROR(SEARCH("ANIMAX",C69)))</formula>
    </cfRule>
    <cfRule type="containsText" dxfId="434" priority="123" operator="containsText" text="AXN TW">
      <formula>NOT(ISERROR(SEARCH("AXN TW",C69)))</formula>
    </cfRule>
    <cfRule type="containsText" dxfId="433" priority="124" operator="containsText" text="AXN">
      <formula>NOT(ISERROR(SEARCH("AXN",C69)))</formula>
    </cfRule>
  </conditionalFormatting>
  <conditionalFormatting sqref="E69:E79">
    <cfRule type="containsText" dxfId="432" priority="117" stopIfTrue="1" operator="containsText" text="Master">
      <formula>NOT(ISERROR(SEARCH("Master",E69)))</formula>
    </cfRule>
    <cfRule type="containsText" dxfId="431" priority="118" stopIfTrue="1" operator="containsText" text="Freelance Audio">
      <formula>NOT(ISERROR(SEARCH("Freelance Audio",E69)))</formula>
    </cfRule>
    <cfRule type="containsText" dxfId="430" priority="119" stopIfTrue="1" operator="containsText" text="Audio">
      <formula>NOT(ISERROR(SEARCH("Audio",E69)))</formula>
    </cfRule>
  </conditionalFormatting>
  <conditionalFormatting sqref="J69:J79">
    <cfRule type="containsText" dxfId="429" priority="112" operator="containsText" text="ONE">
      <formula>NOT(ISERROR(SEARCH("ONE",J69)))</formula>
    </cfRule>
    <cfRule type="containsText" dxfId="428" priority="113" operator="containsText" text="GEM">
      <formula>NOT(ISERROR(SEARCH("GEM",J69)))</formula>
    </cfRule>
    <cfRule type="containsText" dxfId="427" priority="114" operator="containsText" text="ANIMAX">
      <formula>NOT(ISERROR(SEARCH("ANIMAX",J69)))</formula>
    </cfRule>
    <cfRule type="containsText" dxfId="426" priority="115" operator="containsText" text="AXN TW">
      <formula>NOT(ISERROR(SEARCH("AXN TW",J69)))</formula>
    </cfRule>
    <cfRule type="containsText" dxfId="425" priority="116" operator="containsText" text="AXN">
      <formula>NOT(ISERROR(SEARCH("AXN",J69)))</formula>
    </cfRule>
  </conditionalFormatting>
  <conditionalFormatting sqref="L69:L79">
    <cfRule type="containsText" dxfId="424" priority="109" stopIfTrue="1" operator="containsText" text="Master">
      <formula>NOT(ISERROR(SEARCH("Master",L69)))</formula>
    </cfRule>
    <cfRule type="containsText" dxfId="423" priority="110" stopIfTrue="1" operator="containsText" text="Freelance Audio">
      <formula>NOT(ISERROR(SEARCH("Freelance Audio",L69)))</formula>
    </cfRule>
    <cfRule type="containsText" dxfId="422" priority="111" stopIfTrue="1" operator="containsText" text="Audio">
      <formula>NOT(ISERROR(SEARCH("Audio",L69)))</formula>
    </cfRule>
  </conditionalFormatting>
  <conditionalFormatting sqref="Q69:Q79">
    <cfRule type="containsText" dxfId="421" priority="104" operator="containsText" text="ONE">
      <formula>NOT(ISERROR(SEARCH("ONE",Q69)))</formula>
    </cfRule>
    <cfRule type="containsText" dxfId="420" priority="105" operator="containsText" text="GEM">
      <formula>NOT(ISERROR(SEARCH("GEM",Q69)))</formula>
    </cfRule>
    <cfRule type="containsText" dxfId="419" priority="106" operator="containsText" text="ANIMAX">
      <formula>NOT(ISERROR(SEARCH("ANIMAX",Q69)))</formula>
    </cfRule>
    <cfRule type="containsText" dxfId="418" priority="107" operator="containsText" text="AXN TW">
      <formula>NOT(ISERROR(SEARCH("AXN TW",Q69)))</formula>
    </cfRule>
    <cfRule type="containsText" dxfId="417" priority="108" operator="containsText" text="AXN">
      <formula>NOT(ISERROR(SEARCH("AXN",Q69)))</formula>
    </cfRule>
  </conditionalFormatting>
  <conditionalFormatting sqref="S69:S79">
    <cfRule type="containsText" dxfId="416" priority="101" stopIfTrue="1" operator="containsText" text="Master">
      <formula>NOT(ISERROR(SEARCH("Master",S69)))</formula>
    </cfRule>
    <cfRule type="containsText" dxfId="415" priority="102" stopIfTrue="1" operator="containsText" text="Freelance Audio">
      <formula>NOT(ISERROR(SEARCH("Freelance Audio",S69)))</formula>
    </cfRule>
    <cfRule type="containsText" dxfId="414" priority="103" stopIfTrue="1" operator="containsText" text="Audio">
      <formula>NOT(ISERROR(SEARCH("Audio",S69)))</formula>
    </cfRule>
  </conditionalFormatting>
  <conditionalFormatting sqref="X69:X79">
    <cfRule type="containsText" dxfId="413" priority="96" operator="containsText" text="ONE">
      <formula>NOT(ISERROR(SEARCH("ONE",X69)))</formula>
    </cfRule>
    <cfRule type="containsText" dxfId="412" priority="97" operator="containsText" text="GEM">
      <formula>NOT(ISERROR(SEARCH("GEM",X69)))</formula>
    </cfRule>
    <cfRule type="containsText" dxfId="411" priority="98" operator="containsText" text="ANIMAX">
      <formula>NOT(ISERROR(SEARCH("ANIMAX",X69)))</formula>
    </cfRule>
    <cfRule type="containsText" dxfId="410" priority="99" operator="containsText" text="AXN TW">
      <formula>NOT(ISERROR(SEARCH("AXN TW",X69)))</formula>
    </cfRule>
    <cfRule type="containsText" dxfId="409" priority="100" operator="containsText" text="AXN">
      <formula>NOT(ISERROR(SEARCH("AXN",X69)))</formula>
    </cfRule>
  </conditionalFormatting>
  <conditionalFormatting sqref="Z69:Z79">
    <cfRule type="containsText" dxfId="408" priority="93" stopIfTrue="1" operator="containsText" text="Master">
      <formula>NOT(ISERROR(SEARCH("Master",Z69)))</formula>
    </cfRule>
    <cfRule type="containsText" dxfId="407" priority="94" stopIfTrue="1" operator="containsText" text="Freelance Audio">
      <formula>NOT(ISERROR(SEARCH("Freelance Audio",Z69)))</formula>
    </cfRule>
    <cfRule type="containsText" dxfId="406" priority="95" stopIfTrue="1" operator="containsText" text="Audio">
      <formula>NOT(ISERROR(SEARCH("Audio",Z69)))</formula>
    </cfRule>
  </conditionalFormatting>
  <conditionalFormatting sqref="AE69:AE79">
    <cfRule type="containsText" dxfId="405" priority="88" operator="containsText" text="ONE">
      <formula>NOT(ISERROR(SEARCH("ONE",AE69)))</formula>
    </cfRule>
    <cfRule type="containsText" dxfId="404" priority="89" operator="containsText" text="GEM">
      <formula>NOT(ISERROR(SEARCH("GEM",AE69)))</formula>
    </cfRule>
    <cfRule type="containsText" dxfId="403" priority="90" operator="containsText" text="ANIMAX">
      <formula>NOT(ISERROR(SEARCH("ANIMAX",AE69)))</formula>
    </cfRule>
    <cfRule type="containsText" dxfId="402" priority="91" operator="containsText" text="AXN TW">
      <formula>NOT(ISERROR(SEARCH("AXN TW",AE69)))</formula>
    </cfRule>
    <cfRule type="containsText" dxfId="401" priority="92" operator="containsText" text="AXN">
      <formula>NOT(ISERROR(SEARCH("AXN",AE69)))</formula>
    </cfRule>
  </conditionalFormatting>
  <conditionalFormatting sqref="AG69:AG79">
    <cfRule type="containsText" dxfId="400" priority="85" stopIfTrue="1" operator="containsText" text="Master">
      <formula>NOT(ISERROR(SEARCH("Master",AG69)))</formula>
    </cfRule>
    <cfRule type="containsText" dxfId="399" priority="86" stopIfTrue="1" operator="containsText" text="Freelance Audio">
      <formula>NOT(ISERROR(SEARCH("Freelance Audio",AG69)))</formula>
    </cfRule>
    <cfRule type="containsText" dxfId="398" priority="87" stopIfTrue="1" operator="containsText" text="Audio">
      <formula>NOT(ISERROR(SEARCH("Audio",AG69)))</formula>
    </cfRule>
  </conditionalFormatting>
  <conditionalFormatting sqref="H20 H32 H44 H56 H68 O68 O56 O44 O32 O20 O8 V8 V20 V32 V44 V56 V68 AC68 AC56 AC44 AC32 AC20 AC8 AJ8 AJ20 AJ32 AJ44 AJ56 AJ68">
    <cfRule type="expression" dxfId="397" priority="1">
      <formula>MONTH(H8)&lt;&gt;$AN$5</formula>
    </cfRule>
  </conditionalFormatting>
  <conditionalFormatting sqref="H8">
    <cfRule type="expression" dxfId="396" priority="62">
      <formula>MONTH(H8)&lt;&gt;$AN$5</formula>
    </cfRule>
  </conditionalFormatting>
  <conditionalFormatting sqref="B9:H19 B8">
    <cfRule type="expression" dxfId="395" priority="29">
      <formula>MONTH($H$8)&lt;&gt;$AN$5</formula>
    </cfRule>
  </conditionalFormatting>
  <conditionalFormatting sqref="I9:O19 I8">
    <cfRule type="expression" dxfId="394" priority="30">
      <formula>MONTH($O$8)&lt;&gt;$AN$5</formula>
    </cfRule>
  </conditionalFormatting>
  <conditionalFormatting sqref="P9:V19 P8">
    <cfRule type="expression" dxfId="393" priority="28">
      <formula>MONTH($V$8)&lt;&gt;$AN$5</formula>
    </cfRule>
  </conditionalFormatting>
  <conditionalFormatting sqref="AD9:AJ19 AD8">
    <cfRule type="expression" dxfId="392" priority="26">
      <formula>MONTH($AJ$8)&lt;&gt;$AN$5</formula>
    </cfRule>
  </conditionalFormatting>
  <conditionalFormatting sqref="W9:AC19 W8">
    <cfRule type="expression" dxfId="391" priority="27">
      <formula>MONTH($AC$8)&lt;&gt;$AN$5</formula>
    </cfRule>
  </conditionalFormatting>
  <conditionalFormatting sqref="AD69:AJ79 AD68">
    <cfRule type="expression" dxfId="390" priority="6">
      <formula>MONTH($AJ$68)&lt;&gt;$AN$5</formula>
    </cfRule>
  </conditionalFormatting>
  <conditionalFormatting sqref="W69:AC79 W68">
    <cfRule type="expression" dxfId="389" priority="5">
      <formula>MONTH($AC$68)&lt;&gt;$AN$5</formula>
    </cfRule>
  </conditionalFormatting>
  <conditionalFormatting sqref="P69:V79 P68">
    <cfRule type="expression" dxfId="388" priority="4">
      <formula>MONTH($V$68)&lt;&gt;$AN$5</formula>
    </cfRule>
  </conditionalFormatting>
  <conditionalFormatting sqref="I69:O79 I68">
    <cfRule type="expression" dxfId="387" priority="3">
      <formula>MONTH($O$68)&lt;&gt;$AN$5</formula>
    </cfRule>
  </conditionalFormatting>
  <conditionalFormatting sqref="B69:H79 B68">
    <cfRule type="expression" dxfId="386" priority="2">
      <formula>MONTH($H$68)&lt;&gt;$AN$5</formula>
    </cfRule>
  </conditionalFormatting>
  <conditionalFormatting sqref="AD57:AJ67 AD56">
    <cfRule type="expression" dxfId="385" priority="7">
      <formula>MONTH($AJ$56)&lt;&gt;$AN$5</formula>
    </cfRule>
  </conditionalFormatting>
  <conditionalFormatting sqref="W57:AC67 W56">
    <cfRule type="expression" dxfId="384" priority="8">
      <formula>MONTH($AC$56)&lt;&gt;$AN$5</formula>
    </cfRule>
  </conditionalFormatting>
  <conditionalFormatting sqref="P57:V67 P56">
    <cfRule type="expression" dxfId="383" priority="9">
      <formula>MONTH($V$56)&lt;&gt;$AN$5</formula>
    </cfRule>
  </conditionalFormatting>
  <conditionalFormatting sqref="I57:O67 I56">
    <cfRule type="expression" dxfId="382" priority="10">
      <formula>MONTH($O$56)&lt;&gt;$AN$5</formula>
    </cfRule>
  </conditionalFormatting>
  <conditionalFormatting sqref="B57:H67 B56">
    <cfRule type="expression" dxfId="381" priority="11">
      <formula>MONTH($H$56)&lt;&gt;$AN$5</formula>
    </cfRule>
  </conditionalFormatting>
  <conditionalFormatting sqref="B21:H31 B20">
    <cfRule type="expression" dxfId="380" priority="31">
      <formula>MONTH($H$20)&lt;&gt;$AN$5</formula>
    </cfRule>
  </conditionalFormatting>
  <dataValidations count="5">
    <dataValidation type="list" allowBlank="1" showInputMessage="1" showErrorMessage="1" sqref="B9:B19 I9:I19 P9:P19 W9:W19 AD9:AD19 B21:B31 I21:I31 P21:P31 W21:W31 AD21:AD31 B33:B43 I33:I43 P33:P43 W33:W43 AD33:AD43 B45:B55 I45:I55 P45:P55 W45:W55 B57:B67 I57:I67 P57:P67 W57:W67 AD57:AD67 B69:B79 I69:I79 P69:P79 W69:W79 AD69:AD79 AD45 AD47:AD55" xr:uid="{BB955AF2-18D8-8345-B7BD-629EAF90208C}">
      <formula1>"DANIEL,JESSIE,NATASHA,SUSAN,WAYNE,DOROTHY,MARIA,CATH,FREELANCER"</formula1>
    </dataValidation>
    <dataValidation type="list" allowBlank="1" showInputMessage="1" showErrorMessage="1" sqref="C9:C19 J9:J19 Q9:Q19 X9:X19 AE9:AE19 C21:C31 J21:J31 Q21:Q31 X21:X31 AE21:AE31 C33:C43 J33:J43 Q33:Q43 X33:X43 AE33:AE43 C45:C55 J45:J55 Q45:Q55 X45:X55 AE45:AE55 C57:C67 J57:J67 Q57:Q67 X57:X67 AE57:AE67 C69:C79 J69:J79 Q69:Q79 X69:X79 AE69:AE79" xr:uid="{35B692D8-CEDA-C042-BA72-CA3867B10805}">
      <formula1>"ANIMAX,AXN,AXN TW,GEM,ONE"</formula1>
    </dataValidation>
    <dataValidation type="list" allowBlank="1" showInputMessage="1" showErrorMessage="1" sqref="E9:E19 L9:L19 S9:S19 Z9:Z19 AG9:AG19 E21:E31 L21:L31 S21:S31 Z21:Z31 AG21:AG31 E33:E43 L33:L43 S33:S43 Z33:Z43 AG33:AG43 E45:E55 L45:L55 S45:S55 Z45:Z55 AG45:AG55 E57:E67 L57:L67 S57:S67 Z57:Z67 AG57:AG67 E69:E79 L69:L79 S69:S79 Z69:Z79 AG69:AG79" xr:uid="{14F43577-CD2F-604D-8177-59B77C69086E}">
      <formula1>"Audio,Freelance Audio,Master"</formula1>
    </dataValidation>
    <dataValidation type="list" allowBlank="1" showInputMessage="1" showErrorMessage="1" sqref="F9:F19 M9:M19 T9:T19 AA9:AA19 AH9:AH19 F21:F31 M21:M31 T21:T31 AA21:AA31 AH21:AH31 F33:F43 M33:M43 T33:T43 AA33:AA43 AH33:AH43 F45:F55 M45:M55 T45:T55 AA45:AA55 AH45:AH55 F57:F67 M57:M67 T57:T67 AA57:AA67 AH57:AH67 F69:F79 M69:M79 T69:T79 AA69:AA79 AH69:AH79" xr:uid="{A766DD0D-8F67-F343-ABEB-BFAA6E3F2ED3}">
      <formula1>"AM, PM"</formula1>
    </dataValidation>
    <dataValidation type="list" allowBlank="1" showInputMessage="1" showErrorMessage="1" sqref="G9:G19 N9:N19 U9:U19 AB9:AB19 AI9:AI19 G21:G31 N21:N31 U21:U31 AB21:AB31 AI21:AI31 G33:G43 N33:N43 U33:U43 AB33:AB43 AI33:AI43 G45:G55 N45:N55 U45:U55 AB45:AB55 AI45:AI55 G57:G67 N57:N67 U57:U67 AB57:AB67 AI57:AI67 G69:G79 N69:N79 U69:U79 AB69:AB79 AI69:AI79" xr:uid="{DDF55BC5-C7C0-904E-A0B5-2F42D9C6CE78}">
      <formula1>"0.5,1,1.5,2,2.5,3,3.5,4,4.5,5,5.5,6,6.5,7,7.5,8"</formula1>
    </dataValidation>
  </dataValidations>
  <pageMargins left="0.7" right="0.7" top="0.75" bottom="0.75" header="0.3" footer="0.3"/>
  <pageSetup paperSize="9"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Spinner 41">
              <controlPr locked="0" defaultSize="0" print="0" autoPict="0" altText="YEAR">
                <anchor moveWithCells="1" sizeWithCells="1">
                  <from>
                    <xdr:col>40</xdr:col>
                    <xdr:colOff>0</xdr:colOff>
                    <xdr:row>0</xdr:row>
                    <xdr:rowOff>571500</xdr:rowOff>
                  </from>
                  <to>
                    <xdr:col>41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Spinner 42">
              <controlPr locked="0" defaultSize="0" print="0" autoPict="0">
                <anchor moveWithCells="1" sizeWithCells="1">
                  <from>
                    <xdr:col>39</xdr:col>
                    <xdr:colOff>901700</xdr:colOff>
                    <xdr:row>4</xdr:row>
                    <xdr:rowOff>0</xdr:rowOff>
                  </from>
                  <to>
                    <xdr:col>40</xdr:col>
                    <xdr:colOff>457200</xdr:colOff>
                    <xdr:row>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Button 43">
              <controlPr locked="0" defaultSize="0" print="0" autoFill="0" autoPict="0" macro="[0]!GenerateBookingSheet" altText="GENERATE">
                <anchor moveWithCells="1" sizeWithCells="1">
                  <from>
                    <xdr:col>41</xdr:col>
                    <xdr:colOff>419100</xdr:colOff>
                    <xdr:row>1</xdr:row>
                    <xdr:rowOff>12700</xdr:rowOff>
                  </from>
                  <to>
                    <xdr:col>46</xdr:col>
                    <xdr:colOff>342900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295BE487-D9B5-4E0F-A863-D8DCA03304EA}">
            <xm:f>MATCH($H$8,HOLIDAYS!$B$2:$B$22,0)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B9:H19</xm:sqref>
        </x14:conditionalFormatting>
        <x14:conditionalFormatting xmlns:xm="http://schemas.microsoft.com/office/excel/2006/main">
          <x14:cfRule type="expression" priority="79" id="{6DD6F0EF-8969-4A3F-B70C-BEA4C155095F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I9:O19</xm:sqref>
        </x14:conditionalFormatting>
        <x14:conditionalFormatting xmlns:xm="http://schemas.microsoft.com/office/excel/2006/main">
          <x14:cfRule type="expression" priority="78" id="{0748D71B-662B-48A0-9E58-3828785FA2BB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P9:V19</xm:sqref>
        </x14:conditionalFormatting>
        <x14:conditionalFormatting xmlns:xm="http://schemas.microsoft.com/office/excel/2006/main">
          <x14:cfRule type="expression" priority="81" id="{A19C2DE2-852D-47ED-BFCB-20F73E2E04C8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AD9:AJ19</xm:sqref>
        </x14:conditionalFormatting>
        <x14:conditionalFormatting xmlns:xm="http://schemas.microsoft.com/office/excel/2006/main">
          <x14:cfRule type="expression" priority="77" id="{2F9E553A-533F-4A35-B12B-FD4F7F207B15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W9:AC19</xm:sqref>
        </x14:conditionalFormatting>
        <x14:conditionalFormatting xmlns:xm="http://schemas.microsoft.com/office/excel/2006/main">
          <x14:cfRule type="expression" priority="75" id="{F62212C9-23CB-41CF-91CA-FC894D910A53}">
            <xm:f>MATCH($AJ$68,HOLIDAYS!$B$2:$B$22,0)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AD69:AJ79</xm:sqref>
        </x14:conditionalFormatting>
        <x14:conditionalFormatting xmlns:xm="http://schemas.microsoft.com/office/excel/2006/main">
          <x14:cfRule type="expression" priority="74" id="{6843169B-E396-457E-95C6-069358004F9F}">
            <xm:f>MATCH($AC$68,HOLIDAYS!$B$2:$B$22,0)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W69:AC79</xm:sqref>
        </x14:conditionalFormatting>
        <x14:conditionalFormatting xmlns:xm="http://schemas.microsoft.com/office/excel/2006/main">
          <x14:cfRule type="expression" priority="72" id="{BE7EBC67-A6DC-422A-B22D-24102E1A9197}">
            <xm:f>MATCH($V$68,HOLIDAYS!$B$2:$B$22,0)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P69:V79</xm:sqref>
        </x14:conditionalFormatting>
        <x14:conditionalFormatting xmlns:xm="http://schemas.microsoft.com/office/excel/2006/main">
          <x14:cfRule type="expression" priority="71" id="{32D6D016-B6C8-4717-8B26-56AD0F4790EF}">
            <xm:f>MATCH($O$68,HOLIDAYS!$B$2:$B$22,0)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I69:O79</xm:sqref>
        </x14:conditionalFormatting>
        <x14:conditionalFormatting xmlns:xm="http://schemas.microsoft.com/office/excel/2006/main">
          <x14:cfRule type="expression" priority="70" id="{A63EFE72-9A38-4A6B-948C-32E0CC7370CB}">
            <xm:f>MATCH($H$68,HOLIDAYS!$B$2:$B$22,0)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B69:H79</xm:sqref>
        </x14:conditionalFormatting>
        <x14:conditionalFormatting xmlns:xm="http://schemas.microsoft.com/office/excel/2006/main">
          <x14:cfRule type="expression" priority="69" id="{7A8BD58F-57EF-41D1-99DB-CE228615AC8C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AD57:AJ67</xm:sqref>
        </x14:conditionalFormatting>
        <x14:conditionalFormatting xmlns:xm="http://schemas.microsoft.com/office/excel/2006/main">
          <x14:cfRule type="expression" priority="68" id="{70F5641D-6250-4C95-B031-1B151381DCF6}">
            <xm:f>MATCH($AC$56,HOLIDAYS!$B$2:$B$22,0)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W57:AC67</xm:sqref>
        </x14:conditionalFormatting>
        <x14:conditionalFormatting xmlns:xm="http://schemas.microsoft.com/office/excel/2006/main">
          <x14:cfRule type="expression" priority="67" id="{C2FD8213-0651-4DC0-958D-85F6AA60DFCE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P57:V67</xm:sqref>
        </x14:conditionalFormatting>
        <x14:conditionalFormatting xmlns:xm="http://schemas.microsoft.com/office/excel/2006/main">
          <x14:cfRule type="expression" priority="66" id="{C09812CC-09E9-4001-92B4-39CCDDFB6E77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I57:O67</xm:sqref>
        </x14:conditionalFormatting>
        <x14:conditionalFormatting xmlns:xm="http://schemas.microsoft.com/office/excel/2006/main">
          <x14:cfRule type="expression" priority="65" id="{E802A40F-D1F5-43AD-A173-B7C4C29ECABF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B57:H67</xm:sqref>
        </x14:conditionalFormatting>
        <x14:conditionalFormatting xmlns:xm="http://schemas.microsoft.com/office/excel/2006/main">
          <x14:cfRule type="expression" priority="64" id="{46C3F2FC-45E0-4D59-AA23-BEEC1C58CF32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B21:H31</xm:sqref>
        </x14:conditionalFormatting>
        <x14:conditionalFormatting xmlns:xm="http://schemas.microsoft.com/office/excel/2006/main">
          <x14:cfRule type="expression" priority="57" id="{508146CA-B2AF-4DF3-A7FC-57BE7FDB0637}">
            <xm:f>MATCH($O$20,HOLIDAYS!$B$2:$B$22,0)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I21:O31</xm:sqref>
        </x14:conditionalFormatting>
        <x14:conditionalFormatting xmlns:xm="http://schemas.microsoft.com/office/excel/2006/main">
          <x14:cfRule type="expression" priority="56" id="{4280F48E-CA14-4491-A531-5DBE5C82E34E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P21:V31</xm:sqref>
        </x14:conditionalFormatting>
        <x14:conditionalFormatting xmlns:xm="http://schemas.microsoft.com/office/excel/2006/main">
          <x14:cfRule type="expression" priority="55" id="{1D17D535-BF38-4C71-9650-18F7734C0496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W21:AC31</xm:sqref>
        </x14:conditionalFormatting>
        <x14:conditionalFormatting xmlns:xm="http://schemas.microsoft.com/office/excel/2006/main">
          <x14:cfRule type="expression" priority="54" id="{D5643A22-8D5F-43F4-8C6F-54D596EB7080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AD21:AJ31</xm:sqref>
        </x14:conditionalFormatting>
        <x14:conditionalFormatting xmlns:xm="http://schemas.microsoft.com/office/excel/2006/main">
          <x14:cfRule type="expression" priority="53" id="{134FE542-C226-4704-AD4A-BFC1E53A2FC4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B33:H43</xm:sqref>
        </x14:conditionalFormatting>
        <x14:conditionalFormatting xmlns:xm="http://schemas.microsoft.com/office/excel/2006/main">
          <x14:cfRule type="expression" priority="52" id="{9D2E84DC-57E7-4203-9356-92116FE24F1B}">
            <xm:f>MATCH($O$32,HOLIDAYS!$B$2:$B$22,0)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I33:O43</xm:sqref>
        </x14:conditionalFormatting>
        <x14:conditionalFormatting xmlns:xm="http://schemas.microsoft.com/office/excel/2006/main">
          <x14:cfRule type="expression" priority="51" id="{89306824-136D-4621-A305-87C4AE96F566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P33:V43</xm:sqref>
        </x14:conditionalFormatting>
        <x14:conditionalFormatting xmlns:xm="http://schemas.microsoft.com/office/excel/2006/main">
          <x14:cfRule type="expression" priority="50" id="{241DE6F9-24FF-40CF-99C9-91261471E971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W33:AC43</xm:sqref>
        </x14:conditionalFormatting>
        <x14:conditionalFormatting xmlns:xm="http://schemas.microsoft.com/office/excel/2006/main">
          <x14:cfRule type="expression" priority="49" id="{7AEB8965-6A9B-4D47-8C6C-0147F65DA624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AD33:AJ43</xm:sqref>
        </x14:conditionalFormatting>
        <x14:conditionalFormatting xmlns:xm="http://schemas.microsoft.com/office/excel/2006/main">
          <x14:cfRule type="expression" priority="48" id="{0B6A10A5-1914-4ACA-B875-D8C01AE4F046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B45:H55</xm:sqref>
        </x14:conditionalFormatting>
        <x14:conditionalFormatting xmlns:xm="http://schemas.microsoft.com/office/excel/2006/main">
          <x14:cfRule type="expression" priority="47" id="{2FD006CE-ACE3-4DB7-B7E1-C9324DF06AEF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I45:O55</xm:sqref>
        </x14:conditionalFormatting>
        <x14:conditionalFormatting xmlns:xm="http://schemas.microsoft.com/office/excel/2006/main">
          <x14:cfRule type="expression" priority="46" id="{6FD05CD7-D3DC-486A-AB50-EAB755CFCB10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P45:V55</xm:sqref>
        </x14:conditionalFormatting>
        <x14:conditionalFormatting xmlns:xm="http://schemas.microsoft.com/office/excel/2006/main">
          <x14:cfRule type="expression" priority="45" id="{B9B0AF96-3240-4C78-8D4C-1514D89773BB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W45:AC55</xm:sqref>
        </x14:conditionalFormatting>
        <x14:conditionalFormatting xmlns:xm="http://schemas.microsoft.com/office/excel/2006/main">
          <x14:cfRule type="expression" priority="44" id="{2468A030-0D6C-4EEF-AAAB-53F02E66BD29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AD45:AJ55</xm:sqref>
        </x14:conditionalFormatting>
        <x14:conditionalFormatting xmlns:xm="http://schemas.microsoft.com/office/excel/2006/main">
          <x14:cfRule type="expression" priority="58" id="{DEC298BF-2100-4F70-88F5-AB6E20816758}">
            <xm:f>MATCH($B$20,HOLIDAYS!$D$2:$D$22,0)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B20:H20</xm:sqref>
        </x14:conditionalFormatting>
        <x14:conditionalFormatting xmlns:xm="http://schemas.microsoft.com/office/excel/2006/main">
          <x14:cfRule type="expression" priority="82" id="{991B3AD6-AACA-4922-86C9-AB7320F7CC3F}">
            <xm:f>MATCH($B$8,HOLIDAYS!$D$2:$D$22,0)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B8:H8</xm:sqref>
        </x14:conditionalFormatting>
        <x14:conditionalFormatting xmlns:xm="http://schemas.microsoft.com/office/excel/2006/main">
          <x14:cfRule type="expression" priority="61" id="{1997424F-4023-412D-9C31-02A275B3C4D2}">
            <xm:f>MATCH($I$8,HOLIDAYS!$D$2:$D$22,0)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I8:O8</xm:sqref>
        </x14:conditionalFormatting>
        <x14:conditionalFormatting xmlns:xm="http://schemas.microsoft.com/office/excel/2006/main">
          <x14:cfRule type="expression" priority="60" id="{CE33FCC1-3EF7-4497-AB8F-041F9B75B56E}">
            <xm:f>MATCH($P$8,HOLIDAYS!$D$2:$D$22,0)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P8:V8</xm:sqref>
        </x14:conditionalFormatting>
        <x14:conditionalFormatting xmlns:xm="http://schemas.microsoft.com/office/excel/2006/main">
          <x14:cfRule type="expression" priority="59" id="{738CA2D7-E210-4F00-ACD2-BFB2C4E8A288}">
            <xm:f>MATCH($W$8,HOLIDAYS!$D$2:$D$22,0)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W8:AC8</xm:sqref>
        </x14:conditionalFormatting>
        <x14:conditionalFormatting xmlns:xm="http://schemas.microsoft.com/office/excel/2006/main">
          <x14:cfRule type="expression" priority="76" id="{8C87850E-DF32-4460-875A-9725D3AC1206}">
            <xm:f>MATCH($AD$8,HOLIDAYS!$D$2:$D$22,0)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AD8:AJ8</xm:sqref>
        </x14:conditionalFormatting>
        <x14:conditionalFormatting xmlns:xm="http://schemas.microsoft.com/office/excel/2006/main">
          <x14:cfRule type="expression" priority="25" id="{1DFCA0F0-CA1A-4A5E-8F6D-1DB2D24F7FD0}">
            <xm:f>MATCH($I$20,HOLIDAYS!$D$2:$D$22,0)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I20:O20</xm:sqref>
        </x14:conditionalFormatting>
        <x14:conditionalFormatting xmlns:xm="http://schemas.microsoft.com/office/excel/2006/main">
          <x14:cfRule type="expression" priority="24" id="{732E465A-B2B4-45A4-868C-52E78EE7C8D1}">
            <xm:f>MATCH($P$20,HOLIDAYS!$D$2:$D$22,0)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P20:V20</xm:sqref>
        </x14:conditionalFormatting>
        <x14:conditionalFormatting xmlns:xm="http://schemas.microsoft.com/office/excel/2006/main">
          <x14:cfRule type="expression" priority="23" id="{FABEAE3A-457E-428A-B399-EA3B0881172F}">
            <xm:f>MATCH($W$20,HOLIDAYS!$D$2:$D$22,0)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W20:AC20</xm:sqref>
        </x14:conditionalFormatting>
        <x14:conditionalFormatting xmlns:xm="http://schemas.microsoft.com/office/excel/2006/main">
          <x14:cfRule type="expression" priority="22" id="{38372D21-15E8-408F-8335-DDBBFED7EA5F}">
            <xm:f>MATCH($AD$20,HOLIDAYS!$D$2:$D$22,0)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AD20:AJ20</xm:sqref>
        </x14:conditionalFormatting>
        <x14:conditionalFormatting xmlns:xm="http://schemas.microsoft.com/office/excel/2006/main">
          <x14:cfRule type="expression" priority="21" id="{835F93BC-1B0D-4B85-81A3-E82BABA55713}">
            <xm:f>MATCH($B$32,HOLIDAYS!$D$2:$D$22,0)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B32:H32</xm:sqref>
        </x14:conditionalFormatting>
        <x14:conditionalFormatting xmlns:xm="http://schemas.microsoft.com/office/excel/2006/main">
          <x14:cfRule type="expression" priority="20" id="{5A1595BF-E150-440C-A4DB-16A370D454F5}">
            <xm:f>MATCH($I$32,HOLIDAYS!$D$2:$D$22,0)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I32:O32</xm:sqref>
        </x14:conditionalFormatting>
        <x14:conditionalFormatting xmlns:xm="http://schemas.microsoft.com/office/excel/2006/main">
          <x14:cfRule type="expression" priority="19" id="{5DD85B80-BB1A-41C7-A295-5BD5C9E4CD17}">
            <xm:f>MATCH($P$32,HOLIDAYS!$D$2:$D$22,0)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P32:V32</xm:sqref>
        </x14:conditionalFormatting>
        <x14:conditionalFormatting xmlns:xm="http://schemas.microsoft.com/office/excel/2006/main">
          <x14:cfRule type="expression" priority="18" id="{BC42D680-3835-4135-93F5-6EFCA3BD4E95}">
            <xm:f>MATCH($W$32,HOLIDAYS!$D$2:$D$22,0)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W32:AC32</xm:sqref>
        </x14:conditionalFormatting>
        <x14:conditionalFormatting xmlns:xm="http://schemas.microsoft.com/office/excel/2006/main">
          <x14:cfRule type="expression" priority="17" id="{DC539B90-A8DF-48B1-80F7-C6179AAA097D}">
            <xm:f>MATCH($AD$32,HOLIDAYS!$D$2:$D$22,0)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AD32:AJ32</xm:sqref>
        </x14:conditionalFormatting>
        <x14:conditionalFormatting xmlns:xm="http://schemas.microsoft.com/office/excel/2006/main">
          <x14:cfRule type="expression" priority="15" id="{AC05A9B5-E162-4244-ADBC-42B5141C79BD}">
            <xm:f>MATCH($AD$44,HOLIDAYS!$D$2:$D$22,0)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AD44:AJ44</xm:sqref>
        </x14:conditionalFormatting>
        <x14:conditionalFormatting xmlns:xm="http://schemas.microsoft.com/office/excel/2006/main">
          <x14:cfRule type="expression" priority="16" id="{4FD477AF-B36E-49ED-BCC2-24FA2F3DE3E5}">
            <xm:f>MATCH($W$44,HOLIDAYS!$D$2:$D$22,0)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W44:AC44</xm:sqref>
        </x14:conditionalFormatting>
        <x14:conditionalFormatting xmlns:xm="http://schemas.microsoft.com/office/excel/2006/main">
          <x14:cfRule type="expression" priority="14" id="{09FACDBC-2B83-424A-9FF9-69DCC95986F7}">
            <xm:f>MATCH($P$44,HOLIDAYS!$D$2:$D$22,0)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P44:V44</xm:sqref>
        </x14:conditionalFormatting>
        <x14:conditionalFormatting xmlns:xm="http://schemas.microsoft.com/office/excel/2006/main">
          <x14:cfRule type="expression" priority="13" id="{C628EFB3-F085-4177-B915-A50728640CE1}">
            <xm:f>MATCH($I$44,HOLIDAYS!$D$2:$D$22,0)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I44:O44</xm:sqref>
        </x14:conditionalFormatting>
        <x14:conditionalFormatting xmlns:xm="http://schemas.microsoft.com/office/excel/2006/main">
          <x14:cfRule type="expression" priority="12" id="{0CF490C1-4E8D-44C1-AEAA-EA5347C8845A}">
            <xm:f>MATCH($B$44,HOLIDAYS!$D$2:$D$22,0)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B44:H44</xm:sqref>
        </x14:conditionalFormatting>
        <x14:conditionalFormatting xmlns:xm="http://schemas.microsoft.com/office/excel/2006/main">
          <x14:cfRule type="expression" priority="43" id="{660A04EF-4EEB-457D-8E42-2B87F31F02CA}">
            <xm:f>MATCH($B$56,HOLIDAYS!$D$2:$D$22,0)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B56:H56</xm:sqref>
        </x14:conditionalFormatting>
        <x14:conditionalFormatting xmlns:xm="http://schemas.microsoft.com/office/excel/2006/main">
          <x14:cfRule type="expression" priority="42" id="{9443A139-F459-4C8D-A5B7-4BAB5F006DF7}">
            <xm:f>MATCH($I$56,HOLIDAYS!$D$2:$D$22,0)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I56:O56</xm:sqref>
        </x14:conditionalFormatting>
        <x14:conditionalFormatting xmlns:xm="http://schemas.microsoft.com/office/excel/2006/main">
          <x14:cfRule type="expression" priority="41" id="{98AE5189-B120-4022-A8DF-47000A73345C}">
            <xm:f>MATCH($P$56,HOLIDAYS!$D$2:$D$22,0)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P56:V56</xm:sqref>
        </x14:conditionalFormatting>
        <x14:conditionalFormatting xmlns:xm="http://schemas.microsoft.com/office/excel/2006/main">
          <x14:cfRule type="expression" priority="40" id="{3740A782-8532-4D19-A00A-FA1AE5AA8410}">
            <xm:f>MATCH($W$56,HOLIDAYS!$D$2:$D$22,0)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W56:AC56</xm:sqref>
        </x14:conditionalFormatting>
        <x14:conditionalFormatting xmlns:xm="http://schemas.microsoft.com/office/excel/2006/main">
          <x14:cfRule type="expression" priority="63" id="{9BDF79B6-4AE6-438E-840F-5558B71EF276}">
            <xm:f>MATCH($AD$56,HOLIDAYS!$D$2:$D$22,0)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AD56:AJ56</xm:sqref>
        </x14:conditionalFormatting>
        <x14:conditionalFormatting xmlns:xm="http://schemas.microsoft.com/office/excel/2006/main">
          <x14:cfRule type="expression" priority="35" id="{E8A67E1B-6DAC-4845-94F5-25E6A5BDEF30}">
            <xm:f>MATCH($AD$68,HOLIDAYS!$D$2:$D$22,0)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AD68:AJ68</xm:sqref>
        </x14:conditionalFormatting>
        <x14:conditionalFormatting xmlns:xm="http://schemas.microsoft.com/office/excel/2006/main">
          <x14:cfRule type="expression" priority="36" id="{3747D2A8-A79E-4FEE-84E1-17979DDFA0B7}">
            <xm:f>MATCH($W$68,HOLIDAYS!$D$2:$D$22,0)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W68:AC68</xm:sqref>
        </x14:conditionalFormatting>
        <x14:conditionalFormatting xmlns:xm="http://schemas.microsoft.com/office/excel/2006/main">
          <x14:cfRule type="expression" priority="37" id="{A8000ED9-8604-499B-BDBA-13C3EAFB09AF}">
            <xm:f>MATCH($P$68,HOLIDAYS!$D$2:$D$22,0)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P68:V68</xm:sqref>
        </x14:conditionalFormatting>
        <x14:conditionalFormatting xmlns:xm="http://schemas.microsoft.com/office/excel/2006/main">
          <x14:cfRule type="expression" priority="38" id="{CA76412A-657C-43AD-BF35-F63E737237B7}">
            <xm:f>MATCH($I$68,HOLIDAYS!$D$2:$D$22,0)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I68:O68</xm:sqref>
        </x14:conditionalFormatting>
        <x14:conditionalFormatting xmlns:xm="http://schemas.microsoft.com/office/excel/2006/main">
          <x14:cfRule type="expression" priority="39" id="{734677B9-7A5F-42B2-857F-CD74A66FF189}">
            <xm:f>MATCH($B$68,HOLIDAYS!$D$2:$D$22,0)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B68:H68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75142-BA18-46F4-8821-73D9ECE68620}">
  <sheetPr codeName="Sheet5">
    <tabColor theme="0" tint="-0.34998626667073579"/>
  </sheetPr>
  <dimension ref="A1:W43"/>
  <sheetViews>
    <sheetView topLeftCell="K1" zoomScaleNormal="110" workbookViewId="0">
      <selection activeCell="H37" sqref="H37"/>
    </sheetView>
  </sheetViews>
  <sheetFormatPr baseColWidth="10" defaultColWidth="9" defaultRowHeight="16"/>
  <cols>
    <col min="1" max="1" width="25.1640625" style="62" customWidth="1"/>
    <col min="2" max="2" width="13.33203125" style="62" customWidth="1"/>
    <col min="3" max="3" width="10.33203125" style="62" customWidth="1"/>
    <col min="4" max="4" width="10.5" style="62" customWidth="1"/>
    <col min="5" max="5" width="43.6640625" style="62" customWidth="1"/>
    <col min="6" max="6" width="15.1640625" style="62" customWidth="1"/>
    <col min="7" max="7" width="7.6640625" style="62" customWidth="1"/>
    <col min="8" max="8" width="10.33203125" style="62" customWidth="1"/>
    <col min="9" max="9" width="12.1640625" style="62" customWidth="1"/>
    <col min="10" max="10" width="9" style="62"/>
    <col min="11" max="11" width="34.6640625" style="62" customWidth="1"/>
    <col min="12" max="12" width="19.5" style="62" customWidth="1"/>
    <col min="13" max="13" width="17.33203125" style="62" customWidth="1"/>
    <col min="14" max="14" width="23.5" style="62" customWidth="1"/>
    <col min="15" max="15" width="16.6640625" style="62" customWidth="1"/>
    <col min="16" max="16" width="21.6640625" style="62" customWidth="1"/>
    <col min="17" max="16384" width="9" style="62"/>
  </cols>
  <sheetData>
    <row r="1" spans="1:23">
      <c r="A1" s="63"/>
      <c r="B1" s="63"/>
      <c r="C1" s="63"/>
      <c r="D1" s="63"/>
      <c r="E1" s="63"/>
      <c r="F1" s="63"/>
      <c r="G1" s="63"/>
      <c r="H1" s="63"/>
      <c r="I1" s="63"/>
      <c r="K1" s="63"/>
      <c r="L1" s="63"/>
      <c r="M1" s="63"/>
      <c r="N1" s="63"/>
      <c r="O1" s="63"/>
    </row>
    <row r="2" spans="1:23" ht="24.75" customHeight="1">
      <c r="A2" s="63"/>
      <c r="B2" s="150" t="s">
        <v>55</v>
      </c>
      <c r="C2" s="151">
        <v>2023</v>
      </c>
      <c r="D2" s="151"/>
      <c r="E2" s="151"/>
      <c r="F2" s="151"/>
      <c r="G2" s="151"/>
      <c r="H2" s="151"/>
      <c r="I2" s="152"/>
      <c r="K2" s="153" t="s">
        <v>55</v>
      </c>
      <c r="L2" s="153"/>
      <c r="M2" s="153"/>
      <c r="N2" s="153"/>
      <c r="O2" s="153"/>
      <c r="P2" s="157" t="s">
        <v>86</v>
      </c>
      <c r="Q2" s="158"/>
      <c r="R2" s="158"/>
      <c r="S2" s="158"/>
      <c r="T2" s="158"/>
      <c r="U2" s="158"/>
      <c r="V2" s="158"/>
    </row>
    <row r="3" spans="1:23" ht="21" customHeight="1">
      <c r="A3" s="63"/>
      <c r="B3" s="66" t="s">
        <v>56</v>
      </c>
      <c r="C3" s="66" t="s">
        <v>85</v>
      </c>
      <c r="D3" s="66" t="s">
        <v>57</v>
      </c>
      <c r="E3" s="66" t="s">
        <v>58</v>
      </c>
      <c r="F3" s="66" t="s">
        <v>59</v>
      </c>
      <c r="G3" s="66" t="s">
        <v>60</v>
      </c>
      <c r="H3" s="66" t="s">
        <v>66</v>
      </c>
      <c r="I3" s="66" t="s">
        <v>61</v>
      </c>
      <c r="K3" s="72" t="s">
        <v>67</v>
      </c>
      <c r="L3" s="72" t="s">
        <v>68</v>
      </c>
      <c r="M3" s="72" t="s">
        <v>76</v>
      </c>
      <c r="N3" s="72" t="s">
        <v>70</v>
      </c>
      <c r="O3" s="72" t="s">
        <v>69</v>
      </c>
      <c r="P3" s="157"/>
      <c r="Q3" s="158"/>
      <c r="R3" s="158"/>
      <c r="S3" s="158"/>
      <c r="T3" s="158"/>
      <c r="U3" s="158"/>
      <c r="V3" s="158"/>
    </row>
    <row r="4" spans="1:23">
      <c r="A4" s="63"/>
      <c r="B4" s="74"/>
      <c r="C4" s="67"/>
      <c r="D4" s="67"/>
      <c r="E4" s="67"/>
      <c r="F4" s="67"/>
      <c r="G4" s="68"/>
      <c r="H4" s="68"/>
      <c r="I4" s="74"/>
      <c r="K4" s="75" t="str">
        <f>IF(ISBLANK(C4),"",_xlfn.CONCAT("("&amp;C4&amp;")"&amp;" "&amp;D4&amp;" "&amp;"-"&amp;" "&amp;E4))</f>
        <v/>
      </c>
      <c r="L4" s="77" t="str">
        <f>IF(ISBLANK(B4),"",B4+IF(G4="AM", TIME(9,0,0), IF(G4="PM", TIME(14,0,0), "")))</f>
        <v/>
      </c>
      <c r="M4" s="77" t="str">
        <f>IF(ISBLANK(B4),"",B4+IF(OR(ISBLANK(L4),ISBLANK(H4)), "", TEXT(L4+H4/24, "hh:mm")))</f>
        <v/>
      </c>
      <c r="N4" s="76"/>
      <c r="O4" s="71" t="str">
        <f>IF(D4="ANIMAX","Blue Category",
 IF(OR(D4="AXN",D4="AXN TW"),"Red Category",
 IF(D4="ONE","Purple Category",
 IF(D4="GEM","Green Category",""))))</f>
        <v/>
      </c>
      <c r="P4" s="154"/>
      <c r="Q4" s="160" t="s">
        <v>83</v>
      </c>
      <c r="R4" s="160"/>
      <c r="S4" s="160"/>
      <c r="T4" s="160"/>
      <c r="U4" s="160"/>
      <c r="V4" s="160"/>
    </row>
    <row r="5" spans="1:23">
      <c r="A5" s="63"/>
      <c r="B5" s="74"/>
      <c r="C5" s="67"/>
      <c r="D5" s="67"/>
      <c r="E5" s="67"/>
      <c r="F5" s="67"/>
      <c r="G5" s="68"/>
      <c r="H5" s="68"/>
      <c r="I5" s="74"/>
      <c r="K5" s="75" t="str">
        <f t="shared" ref="K5:K35" si="0">IF(ISBLANK(C5),"",_xlfn.CONCAT("("&amp;C5&amp;")"&amp;" "&amp;D5&amp;" "&amp;"-"&amp;" "&amp;E5))</f>
        <v/>
      </c>
      <c r="L5" s="77" t="str">
        <f t="shared" ref="L5:L35" si="1">IF(ISBLANK(B5),"",B5+IF(G5="AM", TIME(9,0,0), IF(G5="PM", TIME(14,0,0), "")))</f>
        <v/>
      </c>
      <c r="M5" s="77" t="str">
        <f t="shared" ref="M5:M35" si="2">IF(ISBLANK(B5),"",B5+IF(OR(ISBLANK(L5),ISBLANK(H5)), "", TEXT(L5+H5/24, "hh:mm")))</f>
        <v/>
      </c>
      <c r="N5" s="76"/>
      <c r="O5" s="71" t="str">
        <f t="shared" ref="O5:O35" si="3">IF(D5="ANIMAX","Blue Category",
 IF(OR(D5="AXN",D5="AXN TW"),"Red Category",
 IF(D5="ONE","Purple Category",
 IF(D5="GEM","Green Category",""))))</f>
        <v/>
      </c>
      <c r="P5" s="154"/>
      <c r="Q5" s="160"/>
      <c r="R5" s="160"/>
      <c r="S5" s="160"/>
      <c r="T5" s="160"/>
      <c r="U5" s="160"/>
      <c r="V5" s="160"/>
      <c r="W5" s="78"/>
    </row>
    <row r="6" spans="1:23">
      <c r="A6" s="63"/>
      <c r="B6" s="74"/>
      <c r="C6" s="67"/>
      <c r="D6" s="67"/>
      <c r="E6" s="67"/>
      <c r="F6" s="67"/>
      <c r="G6" s="68"/>
      <c r="H6" s="68"/>
      <c r="I6" s="74"/>
      <c r="K6" s="75" t="str">
        <f t="shared" si="0"/>
        <v/>
      </c>
      <c r="L6" s="77" t="str">
        <f t="shared" si="1"/>
        <v/>
      </c>
      <c r="M6" s="77" t="str">
        <f t="shared" si="2"/>
        <v/>
      </c>
      <c r="N6" s="76"/>
      <c r="O6" s="71" t="str">
        <f t="shared" si="3"/>
        <v/>
      </c>
      <c r="P6" s="154"/>
      <c r="Q6" s="160"/>
      <c r="R6" s="160"/>
      <c r="S6" s="160"/>
      <c r="T6" s="160"/>
      <c r="U6" s="160"/>
      <c r="V6" s="160"/>
    </row>
    <row r="7" spans="1:23">
      <c r="A7" s="63"/>
      <c r="B7" s="74"/>
      <c r="C7" s="67"/>
      <c r="D7" s="67"/>
      <c r="E7" s="67"/>
      <c r="F7" s="67"/>
      <c r="G7" s="68"/>
      <c r="H7" s="68"/>
      <c r="I7" s="74"/>
      <c r="K7" s="75" t="str">
        <f t="shared" si="0"/>
        <v/>
      </c>
      <c r="L7" s="77" t="str">
        <f t="shared" si="1"/>
        <v/>
      </c>
      <c r="M7" s="77" t="str">
        <f t="shared" si="2"/>
        <v/>
      </c>
      <c r="N7" s="76"/>
      <c r="O7" s="71" t="str">
        <f t="shared" si="3"/>
        <v/>
      </c>
    </row>
    <row r="8" spans="1:23">
      <c r="A8" s="63"/>
      <c r="B8" s="74"/>
      <c r="C8" s="67"/>
      <c r="D8" s="67"/>
      <c r="E8" s="67"/>
      <c r="F8" s="67"/>
      <c r="G8" s="68"/>
      <c r="H8" s="68"/>
      <c r="I8" s="74"/>
      <c r="K8" s="75" t="str">
        <f t="shared" si="0"/>
        <v/>
      </c>
      <c r="L8" s="77" t="str">
        <f t="shared" si="1"/>
        <v/>
      </c>
      <c r="M8" s="77" t="str">
        <f t="shared" si="2"/>
        <v/>
      </c>
      <c r="N8" s="76"/>
      <c r="O8" s="71" t="str">
        <f t="shared" si="3"/>
        <v/>
      </c>
    </row>
    <row r="9" spans="1:23">
      <c r="A9" s="63"/>
      <c r="B9" s="74"/>
      <c r="C9" s="67"/>
      <c r="D9" s="67"/>
      <c r="E9" s="67"/>
      <c r="F9" s="67"/>
      <c r="G9" s="68"/>
      <c r="H9" s="68"/>
      <c r="I9" s="74"/>
      <c r="K9" s="75" t="str">
        <f t="shared" si="0"/>
        <v/>
      </c>
      <c r="L9" s="77" t="str">
        <f t="shared" si="1"/>
        <v/>
      </c>
      <c r="M9" s="77" t="str">
        <f t="shared" si="2"/>
        <v/>
      </c>
      <c r="N9" s="76"/>
      <c r="O9" s="71" t="str">
        <f t="shared" si="3"/>
        <v/>
      </c>
      <c r="P9" s="159"/>
      <c r="Q9" s="155" t="s">
        <v>20</v>
      </c>
      <c r="R9" s="156">
        <v>2023</v>
      </c>
      <c r="S9" s="161" t="s">
        <v>84</v>
      </c>
      <c r="T9" s="161"/>
      <c r="U9" s="161"/>
      <c r="V9" s="161"/>
    </row>
    <row r="10" spans="1:23">
      <c r="A10" s="63"/>
      <c r="B10" s="74"/>
      <c r="C10" s="67"/>
      <c r="D10" s="67"/>
      <c r="E10" s="67"/>
      <c r="F10" s="67"/>
      <c r="G10" s="68"/>
      <c r="H10" s="68"/>
      <c r="I10" s="74"/>
      <c r="K10" s="75" t="str">
        <f t="shared" si="0"/>
        <v/>
      </c>
      <c r="L10" s="77" t="str">
        <f t="shared" si="1"/>
        <v/>
      </c>
      <c r="M10" s="77" t="str">
        <f t="shared" si="2"/>
        <v/>
      </c>
      <c r="N10" s="76"/>
      <c r="O10" s="71" t="str">
        <f t="shared" si="3"/>
        <v/>
      </c>
      <c r="P10" s="159"/>
      <c r="Q10" s="155"/>
      <c r="R10" s="156"/>
      <c r="S10" s="161"/>
      <c r="T10" s="161"/>
      <c r="U10" s="161"/>
      <c r="V10" s="161"/>
    </row>
    <row r="11" spans="1:23">
      <c r="A11" s="63"/>
      <c r="B11" s="74"/>
      <c r="C11" s="67"/>
      <c r="D11" s="67"/>
      <c r="E11" s="67"/>
      <c r="F11" s="67"/>
      <c r="G11" s="68"/>
      <c r="H11" s="68"/>
      <c r="I11" s="74"/>
      <c r="K11" s="75" t="str">
        <f t="shared" si="0"/>
        <v/>
      </c>
      <c r="L11" s="77" t="str">
        <f t="shared" si="1"/>
        <v/>
      </c>
      <c r="M11" s="77" t="str">
        <f t="shared" si="2"/>
        <v/>
      </c>
      <c r="N11" s="76"/>
      <c r="O11" s="71" t="str">
        <f t="shared" si="3"/>
        <v/>
      </c>
      <c r="P11" s="159"/>
      <c r="Q11" s="155" t="s">
        <v>21</v>
      </c>
      <c r="R11" s="156">
        <v>6</v>
      </c>
      <c r="S11" s="161"/>
      <c r="T11" s="161"/>
      <c r="U11" s="161"/>
      <c r="V11" s="161"/>
    </row>
    <row r="12" spans="1:23">
      <c r="A12" s="63"/>
      <c r="B12" s="74"/>
      <c r="C12" s="67"/>
      <c r="D12" s="67"/>
      <c r="E12" s="67"/>
      <c r="F12" s="67"/>
      <c r="G12" s="68"/>
      <c r="H12" s="68"/>
      <c r="I12" s="74"/>
      <c r="K12" s="75" t="str">
        <f t="shared" si="0"/>
        <v/>
      </c>
      <c r="L12" s="77" t="str">
        <f t="shared" si="1"/>
        <v/>
      </c>
      <c r="M12" s="77" t="str">
        <f t="shared" si="2"/>
        <v/>
      </c>
      <c r="N12" s="76"/>
      <c r="O12" s="71" t="str">
        <f t="shared" si="3"/>
        <v/>
      </c>
      <c r="P12" s="159"/>
      <c r="Q12" s="155"/>
      <c r="R12" s="156"/>
      <c r="S12" s="161"/>
      <c r="T12" s="161"/>
      <c r="U12" s="161"/>
      <c r="V12" s="161"/>
    </row>
    <row r="13" spans="1:23">
      <c r="A13" s="63"/>
      <c r="B13" s="74"/>
      <c r="C13" s="67"/>
      <c r="D13" s="67"/>
      <c r="E13" s="67"/>
      <c r="F13" s="67"/>
      <c r="G13" s="68"/>
      <c r="H13" s="68"/>
      <c r="I13" s="74"/>
      <c r="K13" s="75" t="str">
        <f t="shared" si="0"/>
        <v/>
      </c>
      <c r="L13" s="77" t="str">
        <f t="shared" si="1"/>
        <v/>
      </c>
      <c r="M13" s="77" t="str">
        <f t="shared" si="2"/>
        <v/>
      </c>
      <c r="N13" s="70"/>
      <c r="O13" s="71" t="str">
        <f t="shared" si="3"/>
        <v/>
      </c>
    </row>
    <row r="14" spans="1:23">
      <c r="A14" s="63"/>
      <c r="B14" s="74"/>
      <c r="C14" s="67"/>
      <c r="D14" s="67"/>
      <c r="E14" s="67"/>
      <c r="F14" s="67"/>
      <c r="G14" s="68"/>
      <c r="H14" s="68"/>
      <c r="I14" s="74"/>
      <c r="K14" s="75" t="str">
        <f t="shared" si="0"/>
        <v/>
      </c>
      <c r="L14" s="77" t="str">
        <f t="shared" si="1"/>
        <v/>
      </c>
      <c r="M14" s="77" t="str">
        <f t="shared" si="2"/>
        <v/>
      </c>
      <c r="N14" s="70"/>
      <c r="O14" s="71" t="str">
        <f t="shared" si="3"/>
        <v/>
      </c>
    </row>
    <row r="15" spans="1:23">
      <c r="A15" s="63"/>
      <c r="B15" s="74"/>
      <c r="C15" s="67"/>
      <c r="D15" s="67"/>
      <c r="E15" s="67"/>
      <c r="F15" s="67"/>
      <c r="G15" s="68"/>
      <c r="H15" s="68"/>
      <c r="I15" s="74"/>
      <c r="K15" s="75" t="str">
        <f t="shared" si="0"/>
        <v/>
      </c>
      <c r="L15" s="77" t="str">
        <f t="shared" si="1"/>
        <v/>
      </c>
      <c r="M15" s="77" t="str">
        <f t="shared" si="2"/>
        <v/>
      </c>
      <c r="N15" s="70"/>
      <c r="O15" s="71" t="str">
        <f t="shared" si="3"/>
        <v/>
      </c>
    </row>
    <row r="16" spans="1:23">
      <c r="A16" s="63"/>
      <c r="B16" s="74"/>
      <c r="C16" s="67"/>
      <c r="D16" s="67"/>
      <c r="E16" s="67"/>
      <c r="F16" s="67"/>
      <c r="G16" s="68"/>
      <c r="H16" s="68"/>
      <c r="I16" s="74"/>
      <c r="K16" s="75" t="str">
        <f t="shared" si="0"/>
        <v/>
      </c>
      <c r="L16" s="77" t="str">
        <f t="shared" si="1"/>
        <v/>
      </c>
      <c r="M16" s="77" t="str">
        <f t="shared" si="2"/>
        <v/>
      </c>
      <c r="N16" s="70"/>
      <c r="O16" s="71" t="str">
        <f t="shared" si="3"/>
        <v/>
      </c>
    </row>
    <row r="17" spans="1:15">
      <c r="A17" s="63"/>
      <c r="B17" s="74"/>
      <c r="C17" s="67"/>
      <c r="D17" s="67"/>
      <c r="E17" s="67"/>
      <c r="F17" s="67"/>
      <c r="G17" s="68"/>
      <c r="H17" s="68"/>
      <c r="I17" s="74"/>
      <c r="K17" s="75" t="str">
        <f t="shared" si="0"/>
        <v/>
      </c>
      <c r="L17" s="77" t="str">
        <f t="shared" si="1"/>
        <v/>
      </c>
      <c r="M17" s="77" t="str">
        <f t="shared" si="2"/>
        <v/>
      </c>
      <c r="N17" s="70"/>
      <c r="O17" s="71" t="str">
        <f t="shared" si="3"/>
        <v/>
      </c>
    </row>
    <row r="18" spans="1:15">
      <c r="A18" s="63"/>
      <c r="B18" s="74"/>
      <c r="C18" s="67"/>
      <c r="D18" s="67"/>
      <c r="E18" s="67"/>
      <c r="F18" s="67"/>
      <c r="G18" s="68"/>
      <c r="H18" s="68"/>
      <c r="I18" s="74"/>
      <c r="K18" s="75" t="str">
        <f t="shared" si="0"/>
        <v/>
      </c>
      <c r="L18" s="77" t="str">
        <f t="shared" si="1"/>
        <v/>
      </c>
      <c r="M18" s="77" t="str">
        <f t="shared" si="2"/>
        <v/>
      </c>
      <c r="N18" s="70"/>
      <c r="O18" s="71" t="str">
        <f t="shared" si="3"/>
        <v/>
      </c>
    </row>
    <row r="19" spans="1:15">
      <c r="A19" s="63"/>
      <c r="B19" s="74"/>
      <c r="C19" s="67"/>
      <c r="D19" s="67"/>
      <c r="E19" s="67"/>
      <c r="F19" s="67"/>
      <c r="G19" s="68"/>
      <c r="H19" s="68"/>
      <c r="I19" s="74"/>
      <c r="K19" s="75" t="str">
        <f t="shared" si="0"/>
        <v/>
      </c>
      <c r="L19" s="77" t="str">
        <f t="shared" si="1"/>
        <v/>
      </c>
      <c r="M19" s="77" t="str">
        <f t="shared" si="2"/>
        <v/>
      </c>
      <c r="N19" s="70"/>
      <c r="O19" s="71" t="str">
        <f t="shared" si="3"/>
        <v/>
      </c>
    </row>
    <row r="20" spans="1:15">
      <c r="A20" s="63"/>
      <c r="B20" s="74"/>
      <c r="C20" s="67"/>
      <c r="D20" s="67"/>
      <c r="E20" s="67"/>
      <c r="F20" s="67"/>
      <c r="G20" s="68"/>
      <c r="H20" s="68"/>
      <c r="I20" s="74"/>
      <c r="K20" s="75" t="str">
        <f t="shared" si="0"/>
        <v/>
      </c>
      <c r="L20" s="77" t="str">
        <f>IF(ISBLANK(B20),"",B20+IF(G20="AM", TIME(9,0,0), IF(G20="PM", TIME(14,0,0), "")))</f>
        <v/>
      </c>
      <c r="M20" s="77" t="str">
        <f t="shared" si="2"/>
        <v/>
      </c>
      <c r="N20" s="70"/>
      <c r="O20" s="71" t="str">
        <f t="shared" si="3"/>
        <v/>
      </c>
    </row>
    <row r="21" spans="1:15">
      <c r="A21" s="63"/>
      <c r="B21" s="74"/>
      <c r="C21" s="67"/>
      <c r="D21" s="67"/>
      <c r="E21" s="67"/>
      <c r="F21" s="67"/>
      <c r="G21" s="68"/>
      <c r="H21" s="68"/>
      <c r="I21" s="74"/>
      <c r="K21" s="75" t="str">
        <f t="shared" si="0"/>
        <v/>
      </c>
      <c r="L21" s="77" t="str">
        <f t="shared" si="1"/>
        <v/>
      </c>
      <c r="M21" s="77" t="str">
        <f t="shared" si="2"/>
        <v/>
      </c>
      <c r="N21" s="70"/>
      <c r="O21" s="71" t="str">
        <f t="shared" si="3"/>
        <v/>
      </c>
    </row>
    <row r="22" spans="1:15">
      <c r="A22" s="63"/>
      <c r="B22" s="74"/>
      <c r="C22" s="67"/>
      <c r="D22" s="67"/>
      <c r="E22" s="67"/>
      <c r="F22" s="67"/>
      <c r="G22" s="68"/>
      <c r="H22" s="68"/>
      <c r="I22" s="74"/>
      <c r="K22" s="75" t="str">
        <f t="shared" si="0"/>
        <v/>
      </c>
      <c r="L22" s="77" t="str">
        <f t="shared" si="1"/>
        <v/>
      </c>
      <c r="M22" s="77" t="str">
        <f t="shared" si="2"/>
        <v/>
      </c>
      <c r="N22" s="70"/>
      <c r="O22" s="71" t="str">
        <f t="shared" si="3"/>
        <v/>
      </c>
    </row>
    <row r="23" spans="1:15">
      <c r="A23" s="63"/>
      <c r="B23" s="74"/>
      <c r="C23" s="67"/>
      <c r="D23" s="67"/>
      <c r="E23" s="67"/>
      <c r="F23" s="67"/>
      <c r="G23" s="68"/>
      <c r="H23" s="68"/>
      <c r="I23" s="74"/>
      <c r="K23" s="75" t="str">
        <f t="shared" si="0"/>
        <v/>
      </c>
      <c r="L23" s="77" t="str">
        <f t="shared" si="1"/>
        <v/>
      </c>
      <c r="M23" s="77" t="str">
        <f>IF(ISBLANK(B23),"",B23+IF(OR(ISBLANK(L23),ISBLANK(H23)), "", TEXT(L23+H23/24, "hh:mm")))</f>
        <v/>
      </c>
      <c r="N23" s="70"/>
      <c r="O23" s="71" t="str">
        <f t="shared" si="3"/>
        <v/>
      </c>
    </row>
    <row r="24" spans="1:15">
      <c r="A24" s="63"/>
      <c r="B24" s="74"/>
      <c r="C24" s="67"/>
      <c r="D24" s="67"/>
      <c r="E24" s="67"/>
      <c r="F24" s="67"/>
      <c r="G24" s="68"/>
      <c r="H24" s="68"/>
      <c r="I24" s="74"/>
      <c r="K24" s="75" t="str">
        <f t="shared" si="0"/>
        <v/>
      </c>
      <c r="L24" s="77" t="str">
        <f t="shared" si="1"/>
        <v/>
      </c>
      <c r="M24" s="77" t="str">
        <f t="shared" si="2"/>
        <v/>
      </c>
      <c r="N24" s="70"/>
      <c r="O24" s="71" t="str">
        <f t="shared" si="3"/>
        <v/>
      </c>
    </row>
    <row r="25" spans="1:15">
      <c r="A25" s="63"/>
      <c r="B25" s="74"/>
      <c r="C25" s="67"/>
      <c r="D25" s="69"/>
      <c r="E25" s="67"/>
      <c r="F25" s="67"/>
      <c r="G25" s="68"/>
      <c r="H25" s="68"/>
      <c r="I25" s="74"/>
      <c r="K25" s="75" t="str">
        <f t="shared" si="0"/>
        <v/>
      </c>
      <c r="L25" s="77" t="str">
        <f t="shared" si="1"/>
        <v/>
      </c>
      <c r="M25" s="77" t="str">
        <f t="shared" si="2"/>
        <v/>
      </c>
      <c r="N25" s="70"/>
      <c r="O25" s="71" t="str">
        <f t="shared" si="3"/>
        <v/>
      </c>
    </row>
    <row r="26" spans="1:15">
      <c r="A26" s="63"/>
      <c r="B26" s="74"/>
      <c r="C26" s="67"/>
      <c r="D26" s="67"/>
      <c r="E26" s="67"/>
      <c r="F26" s="67"/>
      <c r="G26" s="68"/>
      <c r="H26" s="68"/>
      <c r="I26" s="74"/>
      <c r="K26" s="75" t="str">
        <f t="shared" si="0"/>
        <v/>
      </c>
      <c r="L26" s="77" t="str">
        <f t="shared" si="1"/>
        <v/>
      </c>
      <c r="M26" s="77" t="str">
        <f t="shared" si="2"/>
        <v/>
      </c>
      <c r="N26" s="70"/>
      <c r="O26" s="71" t="str">
        <f t="shared" si="3"/>
        <v/>
      </c>
    </row>
    <row r="27" spans="1:15">
      <c r="A27" s="63"/>
      <c r="B27" s="74"/>
      <c r="C27" s="67"/>
      <c r="D27" s="67"/>
      <c r="E27" s="67"/>
      <c r="F27" s="67"/>
      <c r="G27" s="68"/>
      <c r="H27" s="68"/>
      <c r="I27" s="74"/>
      <c r="K27" s="75" t="str">
        <f>IF(ISBLANK(C27),"",_xlfn.CONCAT("("&amp;C27&amp;")"&amp;" "&amp;D27&amp;" "&amp;"-"&amp;" "&amp;E27))</f>
        <v/>
      </c>
      <c r="L27" s="77" t="str">
        <f t="shared" si="1"/>
        <v/>
      </c>
      <c r="M27" s="77" t="str">
        <f t="shared" si="2"/>
        <v/>
      </c>
      <c r="N27" s="70"/>
      <c r="O27" s="71" t="str">
        <f t="shared" si="3"/>
        <v/>
      </c>
    </row>
    <row r="28" spans="1:15">
      <c r="A28" s="63"/>
      <c r="B28" s="74"/>
      <c r="C28" s="67"/>
      <c r="D28" s="67"/>
      <c r="E28" s="67"/>
      <c r="F28" s="67"/>
      <c r="G28" s="68"/>
      <c r="H28" s="68"/>
      <c r="I28" s="74"/>
      <c r="K28" s="75" t="str">
        <f t="shared" si="0"/>
        <v/>
      </c>
      <c r="L28" s="77" t="str">
        <f t="shared" si="1"/>
        <v/>
      </c>
      <c r="M28" s="77" t="str">
        <f t="shared" si="2"/>
        <v/>
      </c>
      <c r="N28" s="70"/>
      <c r="O28" s="71" t="str">
        <f>IF(D28="ANIMAX","Blue Category",
 IF(OR(D28="AXN",D28="AXN TW"),"Red Category",
 IF(D28="ONE","Purple Category",
 IF(D28="GEM","Green Category",""))))</f>
        <v/>
      </c>
    </row>
    <row r="29" spans="1:15">
      <c r="A29" s="63"/>
      <c r="B29" s="74"/>
      <c r="C29" s="67"/>
      <c r="D29" s="67"/>
      <c r="E29" s="67"/>
      <c r="F29" s="67"/>
      <c r="G29" s="68"/>
      <c r="H29" s="68"/>
      <c r="I29" s="74"/>
      <c r="K29" s="75" t="str">
        <f t="shared" si="0"/>
        <v/>
      </c>
      <c r="L29" s="77" t="str">
        <f t="shared" si="1"/>
        <v/>
      </c>
      <c r="M29" s="77" t="str">
        <f t="shared" si="2"/>
        <v/>
      </c>
      <c r="N29" s="70"/>
      <c r="O29" s="71" t="str">
        <f t="shared" si="3"/>
        <v/>
      </c>
    </row>
    <row r="30" spans="1:15">
      <c r="A30" s="63"/>
      <c r="B30" s="74"/>
      <c r="C30" s="67"/>
      <c r="D30" s="67"/>
      <c r="E30" s="67"/>
      <c r="F30" s="67"/>
      <c r="G30" s="68"/>
      <c r="H30" s="68"/>
      <c r="I30" s="74"/>
      <c r="K30" s="75" t="str">
        <f t="shared" si="0"/>
        <v/>
      </c>
      <c r="L30" s="77" t="str">
        <f t="shared" si="1"/>
        <v/>
      </c>
      <c r="M30" s="77" t="str">
        <f t="shared" si="2"/>
        <v/>
      </c>
      <c r="N30" s="70"/>
      <c r="O30" s="71" t="str">
        <f t="shared" si="3"/>
        <v/>
      </c>
    </row>
    <row r="31" spans="1:15">
      <c r="A31" s="63"/>
      <c r="B31" s="74"/>
      <c r="C31" s="67"/>
      <c r="D31" s="69"/>
      <c r="E31" s="67"/>
      <c r="F31" s="67"/>
      <c r="G31" s="68"/>
      <c r="H31" s="68"/>
      <c r="I31" s="74"/>
      <c r="K31" s="75" t="str">
        <f t="shared" si="0"/>
        <v/>
      </c>
      <c r="L31" s="77" t="str">
        <f t="shared" si="1"/>
        <v/>
      </c>
      <c r="M31" s="77" t="str">
        <f t="shared" si="2"/>
        <v/>
      </c>
      <c r="N31" s="70"/>
      <c r="O31" s="71" t="str">
        <f t="shared" si="3"/>
        <v/>
      </c>
    </row>
    <row r="32" spans="1:15">
      <c r="A32" s="63"/>
      <c r="B32" s="74"/>
      <c r="C32" s="67"/>
      <c r="D32" s="69"/>
      <c r="E32" s="67"/>
      <c r="F32" s="67"/>
      <c r="G32" s="68"/>
      <c r="H32" s="68"/>
      <c r="I32" s="74"/>
      <c r="K32" s="75" t="str">
        <f t="shared" si="0"/>
        <v/>
      </c>
      <c r="L32" s="77" t="str">
        <f t="shared" si="1"/>
        <v/>
      </c>
      <c r="M32" s="77" t="str">
        <f t="shared" si="2"/>
        <v/>
      </c>
      <c r="N32" s="70"/>
      <c r="O32" s="71" t="str">
        <f t="shared" si="3"/>
        <v/>
      </c>
    </row>
    <row r="33" spans="1:15">
      <c r="A33" s="63"/>
      <c r="B33" s="74"/>
      <c r="C33" s="67"/>
      <c r="D33" s="69"/>
      <c r="E33" s="67"/>
      <c r="F33" s="67"/>
      <c r="G33" s="68"/>
      <c r="H33" s="68"/>
      <c r="I33" s="74"/>
      <c r="K33" s="75" t="str">
        <f t="shared" si="0"/>
        <v/>
      </c>
      <c r="L33" s="77" t="str">
        <f t="shared" si="1"/>
        <v/>
      </c>
      <c r="M33" s="77" t="str">
        <f t="shared" si="2"/>
        <v/>
      </c>
      <c r="N33" s="70"/>
      <c r="O33" s="71" t="str">
        <f t="shared" si="3"/>
        <v/>
      </c>
    </row>
    <row r="34" spans="1:15">
      <c r="A34" s="63"/>
      <c r="B34" s="74"/>
      <c r="C34" s="67"/>
      <c r="D34" s="69"/>
      <c r="E34" s="67"/>
      <c r="F34" s="67"/>
      <c r="G34" s="68"/>
      <c r="H34" s="68"/>
      <c r="I34" s="74"/>
      <c r="K34" s="75" t="str">
        <f t="shared" si="0"/>
        <v/>
      </c>
      <c r="L34" s="77" t="str">
        <f t="shared" si="1"/>
        <v/>
      </c>
      <c r="M34" s="77" t="str">
        <f t="shared" si="2"/>
        <v/>
      </c>
      <c r="N34" s="70"/>
      <c r="O34" s="71" t="str">
        <f t="shared" si="3"/>
        <v/>
      </c>
    </row>
    <row r="35" spans="1:15">
      <c r="B35" s="74"/>
      <c r="C35" s="67"/>
      <c r="D35" s="69"/>
      <c r="E35" s="67"/>
      <c r="F35" s="67"/>
      <c r="G35" s="68"/>
      <c r="H35" s="68"/>
      <c r="I35" s="74"/>
      <c r="K35" s="75" t="str">
        <f t="shared" si="0"/>
        <v/>
      </c>
      <c r="L35" s="77" t="str">
        <f t="shared" si="1"/>
        <v/>
      </c>
      <c r="M35" s="77" t="str">
        <f t="shared" si="2"/>
        <v/>
      </c>
      <c r="N35" s="70"/>
      <c r="O35" s="71" t="str">
        <f t="shared" si="3"/>
        <v/>
      </c>
    </row>
    <row r="36" spans="1:15">
      <c r="K36" s="73"/>
    </row>
    <row r="37" spans="1:15">
      <c r="K37" s="73"/>
    </row>
    <row r="38" spans="1:15">
      <c r="K38" s="73"/>
    </row>
    <row r="39" spans="1:15">
      <c r="K39" s="73"/>
    </row>
    <row r="40" spans="1:15">
      <c r="K40" s="73"/>
    </row>
    <row r="41" spans="1:15">
      <c r="K41" s="73"/>
    </row>
    <row r="42" spans="1:15">
      <c r="K42" s="73"/>
    </row>
    <row r="43" spans="1:15">
      <c r="K43" s="73"/>
    </row>
  </sheetData>
  <sheetProtection algorithmName="SHA-512" hashValue="OmHB2QsiPFlKsM6pqeh+nGLhf/Fk2gIGltF1Q9yJrAnJXvASAn3XWrDRpf2sHNcfHuo6vbMOg7pZIp3EAeQJvw==" saltValue="4UeaZCEGKsJ5Jj0OcCRHOA==" spinCount="100000" sheet="1" objects="1" scenarios="1"/>
  <sortState xmlns:xlrd2="http://schemas.microsoft.com/office/spreadsheetml/2017/richdata2" ref="B4:I4">
    <sortCondition ref="I4"/>
  </sortState>
  <mergeCells count="11">
    <mergeCell ref="Q11:Q12"/>
    <mergeCell ref="R11:R12"/>
    <mergeCell ref="P9:P12"/>
    <mergeCell ref="Q4:V6"/>
    <mergeCell ref="S9:V12"/>
    <mergeCell ref="B2:I2"/>
    <mergeCell ref="K2:O2"/>
    <mergeCell ref="P4:P6"/>
    <mergeCell ref="Q9:Q10"/>
    <mergeCell ref="R9:R10"/>
    <mergeCell ref="P2:V3"/>
  </mergeCells>
  <dataValidations count="1">
    <dataValidation type="list" allowBlank="1" showInputMessage="1" showErrorMessage="1" sqref="N4:N35" xr:uid="{47131BF6-6B76-49B3-B4BA-2F3D4D91EF48}">
      <formula1>"Audio Outsource Oakey,Audio Outsource Kerry,Audio Outsource Lin"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istOutFreelanceAudio">
                <anchor>
                  <from>
                    <xdr:col>0</xdr:col>
                    <xdr:colOff>368300</xdr:colOff>
                    <xdr:row>3</xdr:row>
                    <xdr:rowOff>38100</xdr:rowOff>
                  </from>
                  <to>
                    <xdr:col>0</xdr:col>
                    <xdr:colOff>1562100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Contents">
                <anchor>
                  <from>
                    <xdr:col>0</xdr:col>
                    <xdr:colOff>368300</xdr:colOff>
                    <xdr:row>6</xdr:row>
                    <xdr:rowOff>114300</xdr:rowOff>
                  </from>
                  <to>
                    <xdr:col>0</xdr:col>
                    <xdr:colOff>1562100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UpdateOusourceAudioCalendar">
                <anchor>
                  <from>
                    <xdr:col>15</xdr:col>
                    <xdr:colOff>266700</xdr:colOff>
                    <xdr:row>3</xdr:row>
                    <xdr:rowOff>25400</xdr:rowOff>
                  </from>
                  <to>
                    <xdr:col>15</xdr:col>
                    <xdr:colOff>1460500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6" name="Button 12">
              <controlPr defaultSize="0" print="0" autoFill="0" autoPict="0" macro="[0]!DeleteEventsInMonth">
                <anchor moveWithCells="1">
                  <from>
                    <xdr:col>15</xdr:col>
                    <xdr:colOff>266700</xdr:colOff>
                    <xdr:row>8</xdr:row>
                    <xdr:rowOff>25400</xdr:rowOff>
                  </from>
                  <to>
                    <xdr:col>15</xdr:col>
                    <xdr:colOff>1460500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7" name="Spinner 14">
              <controlPr defaultSize="0" autoPict="0" altText="YEAR">
                <anchor moveWithCells="1" sizeWithCells="1">
                  <from>
                    <xdr:col>18</xdr:col>
                    <xdr:colOff>12700</xdr:colOff>
                    <xdr:row>8</xdr:row>
                    <xdr:rowOff>0</xdr:rowOff>
                  </from>
                  <to>
                    <xdr:col>18</xdr:col>
                    <xdr:colOff>444500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8" name="Spinner 15">
              <controlPr defaultSize="0" autoPict="0">
                <anchor moveWithCells="1" sizeWithCells="1">
                  <from>
                    <xdr:col>18</xdr:col>
                    <xdr:colOff>12700</xdr:colOff>
                    <xdr:row>10</xdr:row>
                    <xdr:rowOff>0</xdr:rowOff>
                  </from>
                  <to>
                    <xdr:col>18</xdr:col>
                    <xdr:colOff>444500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B6022-83B3-47AE-BAFB-F9C4C7ED8E71}">
  <sheetPr codeName="Sheet7">
    <tabColor theme="0" tint="-0.34998626667073579"/>
  </sheetPr>
  <dimension ref="A1:Y30"/>
  <sheetViews>
    <sheetView zoomScale="90" zoomScaleNormal="90" workbookViewId="0">
      <selection activeCell="D10" sqref="D10"/>
    </sheetView>
  </sheetViews>
  <sheetFormatPr baseColWidth="10" defaultColWidth="9" defaultRowHeight="34.5" customHeight="1"/>
  <cols>
    <col min="1" max="1" width="3.83203125" style="1" customWidth="1"/>
    <col min="2" max="2" width="8.1640625" style="1" customWidth="1"/>
    <col min="3" max="3" width="7.6640625" style="1" customWidth="1"/>
    <col min="4" max="4" width="11.33203125" style="1" customWidth="1"/>
    <col min="5" max="5" width="14.5" style="1" customWidth="1"/>
    <col min="6" max="7" width="11.83203125" style="1" customWidth="1"/>
    <col min="8" max="8" width="61.5" style="1" customWidth="1"/>
    <col min="9" max="9" width="22.1640625" style="1" customWidth="1"/>
    <col min="10" max="10" width="8.33203125" style="1" customWidth="1"/>
    <col min="11" max="11" width="9" style="1"/>
    <col min="12" max="12" width="12" style="1" customWidth="1"/>
    <col min="13" max="13" width="9.33203125" style="1" customWidth="1"/>
    <col min="14" max="14" width="16.1640625" style="1" customWidth="1"/>
    <col min="15" max="15" width="21.83203125" style="1" customWidth="1"/>
    <col min="16" max="16" width="9" style="1"/>
    <col min="17" max="17" width="12" style="1" customWidth="1"/>
    <col min="18" max="18" width="9.33203125" style="1" customWidth="1"/>
    <col min="19" max="19" width="16.1640625" style="1" customWidth="1"/>
    <col min="20" max="20" width="21.83203125" style="1" customWidth="1"/>
    <col min="21" max="21" width="9" style="1"/>
    <col min="22" max="22" width="12" style="1" customWidth="1"/>
    <col min="23" max="23" width="9.33203125" style="1" customWidth="1"/>
    <col min="24" max="24" width="16.1640625" style="1" customWidth="1"/>
    <col min="25" max="25" width="21.83203125" style="1" customWidth="1"/>
    <col min="26" max="16384" width="9" style="1"/>
  </cols>
  <sheetData>
    <row r="1" spans="1:25" ht="34.5" customHeight="1">
      <c r="A1" s="2"/>
      <c r="B1" s="2"/>
      <c r="C1" s="2"/>
      <c r="D1" s="2"/>
      <c r="E1" s="2"/>
      <c r="F1" s="2"/>
      <c r="G1" s="2"/>
      <c r="H1" s="2"/>
      <c r="I1" s="2"/>
      <c r="J1" s="2"/>
      <c r="L1" s="80" t="s">
        <v>77</v>
      </c>
      <c r="Q1" s="80" t="s">
        <v>80</v>
      </c>
      <c r="V1" s="80" t="s">
        <v>81</v>
      </c>
    </row>
    <row r="2" spans="1:25" ht="39" customHeight="1">
      <c r="A2" s="2"/>
      <c r="B2" s="94" t="s">
        <v>20</v>
      </c>
      <c r="C2" s="95">
        <v>2023</v>
      </c>
      <c r="D2" s="2"/>
      <c r="E2" s="85" t="s">
        <v>71</v>
      </c>
      <c r="F2" s="85" t="s">
        <v>72</v>
      </c>
      <c r="G2" s="85" t="s">
        <v>73</v>
      </c>
      <c r="H2" s="85" t="s">
        <v>74</v>
      </c>
      <c r="I2" s="85" t="s">
        <v>70</v>
      </c>
      <c r="J2" s="85" t="s">
        <v>75</v>
      </c>
      <c r="L2" s="81" t="s">
        <v>57</v>
      </c>
      <c r="M2" s="81" t="s">
        <v>75</v>
      </c>
      <c r="N2" s="81" t="s">
        <v>78</v>
      </c>
      <c r="O2" s="81" t="s">
        <v>79</v>
      </c>
      <c r="Q2" s="81" t="s">
        <v>57</v>
      </c>
      <c r="R2" s="81" t="s">
        <v>75</v>
      </c>
      <c r="S2" s="81" t="s">
        <v>78</v>
      </c>
      <c r="T2" s="81" t="s">
        <v>79</v>
      </c>
      <c r="V2" s="81" t="s">
        <v>57</v>
      </c>
      <c r="W2" s="81" t="s">
        <v>75</v>
      </c>
      <c r="X2" s="81" t="s">
        <v>78</v>
      </c>
      <c r="Y2" s="81" t="s">
        <v>79</v>
      </c>
    </row>
    <row r="3" spans="1:25" ht="34.5" customHeight="1">
      <c r="B3" s="94" t="s">
        <v>21</v>
      </c>
      <c r="C3" s="79">
        <v>6</v>
      </c>
      <c r="E3" s="86"/>
      <c r="F3" s="87"/>
      <c r="G3" s="87"/>
      <c r="H3" s="88"/>
      <c r="I3" s="89"/>
      <c r="J3" s="90" t="str">
        <f t="shared" ref="J3:J30" si="0">IF(ISBLANK(F3),"", (G3-F3)*24)</f>
        <v/>
      </c>
      <c r="L3" s="82" t="s">
        <v>63</v>
      </c>
      <c r="M3" s="92">
        <f>SUMIFS($J$3:$J$30,$H$3:$H$30,"*GEM*",$I$3:$I$30,"KERRY")</f>
        <v>0</v>
      </c>
      <c r="N3" s="84">
        <f t="shared" ref="N3:N5" si="1">M3*60</f>
        <v>0</v>
      </c>
      <c r="O3" s="83"/>
      <c r="Q3" s="82" t="s">
        <v>63</v>
      </c>
      <c r="R3" s="92">
        <f>SUMIFS($J$3:$J$30,$H$3:$H$30,"*GEM*",$I$3:$I$30,"OAKEY")</f>
        <v>0</v>
      </c>
      <c r="S3" s="93">
        <f>R3*340</f>
        <v>0</v>
      </c>
      <c r="T3" s="83"/>
      <c r="V3" s="82" t="s">
        <v>63</v>
      </c>
      <c r="W3" s="92">
        <f>SUMIFS($J$3:$J$30,$H$3:$H$30,"*GEM*",$I$3:$I$30,"LIN")</f>
        <v>0</v>
      </c>
      <c r="X3" s="84">
        <f>W3*50</f>
        <v>0</v>
      </c>
      <c r="Y3" s="83"/>
    </row>
    <row r="4" spans="1:25" ht="34.5" customHeight="1">
      <c r="A4" s="2"/>
      <c r="B4" s="2"/>
      <c r="C4" s="2"/>
      <c r="D4" s="2"/>
      <c r="E4" s="86"/>
      <c r="F4" s="87"/>
      <c r="G4" s="87"/>
      <c r="H4" s="88"/>
      <c r="I4" s="89"/>
      <c r="J4" s="90" t="str">
        <f t="shared" si="0"/>
        <v/>
      </c>
      <c r="L4" s="82" t="s">
        <v>62</v>
      </c>
      <c r="M4" s="92">
        <f>SUMIFS($J$3:$J$30,$H$3:$H$30,"*AXN*",$I$3:$I$30,"KERRY")</f>
        <v>0</v>
      </c>
      <c r="N4" s="84">
        <f t="shared" si="1"/>
        <v>0</v>
      </c>
      <c r="O4" s="83"/>
      <c r="Q4" s="82" t="s">
        <v>62</v>
      </c>
      <c r="R4" s="92">
        <f>SUMIFS($J$3:$J$30,$H$3:$H$30,"*AXN*",$I$3:$I$30,"OAKEY")</f>
        <v>0</v>
      </c>
      <c r="S4" s="93">
        <f t="shared" ref="S4:S6" si="2">R4*340</f>
        <v>0</v>
      </c>
      <c r="T4" s="83"/>
      <c r="V4" s="82" t="s">
        <v>62</v>
      </c>
      <c r="W4" s="92">
        <f>SUMIFS($J$3:$J$30,$H$3:$H$30,"*AXN*",$I$3:$I$30,"LIN")</f>
        <v>0</v>
      </c>
      <c r="X4" s="84">
        <f t="shared" ref="X4:X6" si="3">W4*50</f>
        <v>0</v>
      </c>
      <c r="Y4" s="83"/>
    </row>
    <row r="5" spans="1:25" ht="34.5" customHeight="1">
      <c r="A5" s="2"/>
      <c r="B5" s="2"/>
      <c r="C5" s="2"/>
      <c r="D5" s="2"/>
      <c r="E5" s="86"/>
      <c r="F5" s="87"/>
      <c r="G5" s="87"/>
      <c r="H5" s="88"/>
      <c r="I5" s="89"/>
      <c r="J5" s="90" t="str">
        <f t="shared" si="0"/>
        <v/>
      </c>
      <c r="L5" s="82" t="s">
        <v>64</v>
      </c>
      <c r="M5" s="92">
        <f>SUMIFS($J$3:$J$30,$H$3:$H$30,"*ANIMAX*",$I$3:$I$30,"KERRY")</f>
        <v>0</v>
      </c>
      <c r="N5" s="84">
        <f t="shared" si="1"/>
        <v>0</v>
      </c>
      <c r="O5" s="83"/>
      <c r="Q5" s="82" t="s">
        <v>64</v>
      </c>
      <c r="R5" s="92">
        <f>SUMIFS($J$3:$J$30,$H$3:$H$30,"*ANIMAX*",$I$3:$I$30,"OAKEY")</f>
        <v>0</v>
      </c>
      <c r="S5" s="93">
        <f t="shared" si="2"/>
        <v>0</v>
      </c>
      <c r="T5" s="83"/>
      <c r="V5" s="82" t="s">
        <v>64</v>
      </c>
      <c r="W5" s="92">
        <f>SUMIFS($J$3:$J$30,$H$3:$H$30,"*ANIMAX*",$I$3:$I$30,"LIN")</f>
        <v>0</v>
      </c>
      <c r="X5" s="84">
        <f t="shared" si="3"/>
        <v>0</v>
      </c>
      <c r="Y5" s="83"/>
    </row>
    <row r="6" spans="1:25" ht="34.5" customHeight="1">
      <c r="A6" s="2"/>
      <c r="B6" s="2"/>
      <c r="C6" s="2"/>
      <c r="D6" s="2"/>
      <c r="E6" s="86"/>
      <c r="F6" s="87"/>
      <c r="G6" s="87"/>
      <c r="H6" s="88"/>
      <c r="I6" s="89"/>
      <c r="J6" s="90" t="str">
        <f t="shared" si="0"/>
        <v/>
      </c>
      <c r="L6" s="82" t="s">
        <v>65</v>
      </c>
      <c r="M6" s="92">
        <f>SUMIFS($J$3:$J$30,$H$3:$H$30,"*ONE*",$I$3:$I$30,"KERRY")</f>
        <v>0</v>
      </c>
      <c r="N6" s="84">
        <f>M6*60</f>
        <v>0</v>
      </c>
      <c r="O6" s="83"/>
      <c r="Q6" s="82" t="s">
        <v>65</v>
      </c>
      <c r="R6" s="92">
        <f>SUMIFS($J$3:$J$30,$H$3:$H$30,"*ONE*",$I$3:$I$30,"OAKEY")</f>
        <v>0</v>
      </c>
      <c r="S6" s="93">
        <f t="shared" si="2"/>
        <v>0</v>
      </c>
      <c r="T6" s="83"/>
      <c r="V6" s="82" t="s">
        <v>65</v>
      </c>
      <c r="W6" s="92">
        <f>SUMIFS($J$3:$J$30,$H$3:$H$30,"*ONE*",$I$3:$I$30,"LIN")</f>
        <v>0</v>
      </c>
      <c r="X6" s="84">
        <f t="shared" si="3"/>
        <v>0</v>
      </c>
      <c r="Y6" s="83"/>
    </row>
    <row r="7" spans="1:25" ht="34.5" customHeight="1" thickBot="1">
      <c r="A7" s="2"/>
      <c r="B7" s="2"/>
      <c r="C7" s="2"/>
      <c r="D7" s="2"/>
      <c r="E7" s="86"/>
      <c r="F7" s="87"/>
      <c r="G7" s="87"/>
      <c r="H7" s="88"/>
      <c r="I7" s="89"/>
      <c r="J7" s="90" t="str">
        <f t="shared" si="0"/>
        <v/>
      </c>
    </row>
    <row r="8" spans="1:25" ht="34.5" customHeight="1">
      <c r="A8" s="2"/>
      <c r="B8" s="2"/>
      <c r="C8" s="2"/>
      <c r="D8" s="2"/>
      <c r="E8" s="86"/>
      <c r="F8" s="87"/>
      <c r="G8" s="87"/>
      <c r="H8" s="88"/>
      <c r="I8" s="89"/>
      <c r="J8" s="90" t="str">
        <f t="shared" si="0"/>
        <v/>
      </c>
      <c r="L8" s="162" t="s">
        <v>82</v>
      </c>
      <c r="M8" s="163"/>
      <c r="N8" s="164"/>
    </row>
    <row r="9" spans="1:25" ht="34.5" customHeight="1">
      <c r="A9" s="2"/>
      <c r="B9" s="2"/>
      <c r="C9" s="2"/>
      <c r="D9" s="2"/>
      <c r="E9" s="86"/>
      <c r="F9" s="87"/>
      <c r="G9" s="87"/>
      <c r="H9" s="88"/>
      <c r="I9" s="89"/>
      <c r="J9" s="90" t="str">
        <f t="shared" si="0"/>
        <v/>
      </c>
      <c r="L9" s="165">
        <f>SUM(J3:J30)</f>
        <v>0</v>
      </c>
      <c r="M9" s="166"/>
      <c r="N9" s="167"/>
    </row>
    <row r="10" spans="1:25" ht="34.5" customHeight="1" thickBot="1">
      <c r="A10" s="2"/>
      <c r="B10" s="2"/>
      <c r="C10" s="2"/>
      <c r="D10" s="2"/>
      <c r="E10" s="86"/>
      <c r="F10" s="87"/>
      <c r="G10" s="87"/>
      <c r="H10" s="88"/>
      <c r="I10" s="89"/>
      <c r="J10" s="90" t="str">
        <f t="shared" si="0"/>
        <v/>
      </c>
      <c r="L10" s="168" cm="1">
        <f t="array" ref="L10">SUM(M3:M6+R3:R6+W3:W6)</f>
        <v>0</v>
      </c>
      <c r="M10" s="169"/>
      <c r="N10" s="170"/>
    </row>
    <row r="11" spans="1:25" ht="34.5" customHeight="1">
      <c r="A11" s="2"/>
      <c r="B11" s="2"/>
      <c r="C11" s="2"/>
      <c r="D11" s="2"/>
      <c r="E11" s="86"/>
      <c r="F11" s="87"/>
      <c r="G11" s="87"/>
      <c r="H11" s="88"/>
      <c r="I11" s="89"/>
      <c r="J11" s="90" t="str">
        <f t="shared" si="0"/>
        <v/>
      </c>
    </row>
    <row r="12" spans="1:25" ht="34.5" customHeight="1">
      <c r="A12" s="2"/>
      <c r="B12" s="2"/>
      <c r="C12" s="2"/>
      <c r="D12" s="2"/>
      <c r="E12" s="86"/>
      <c r="F12" s="87"/>
      <c r="G12" s="87"/>
      <c r="H12" s="88"/>
      <c r="I12" s="89"/>
      <c r="J12" s="90" t="str">
        <f t="shared" si="0"/>
        <v/>
      </c>
    </row>
    <row r="13" spans="1:25" ht="34.5" customHeight="1">
      <c r="A13" s="2"/>
      <c r="B13" s="2"/>
      <c r="C13" s="2"/>
      <c r="D13" s="2"/>
      <c r="E13" s="86"/>
      <c r="F13" s="87"/>
      <c r="G13" s="87"/>
      <c r="H13" s="88"/>
      <c r="I13" s="89"/>
      <c r="J13" s="90" t="str">
        <f t="shared" si="0"/>
        <v/>
      </c>
    </row>
    <row r="14" spans="1:25" ht="34.5" customHeight="1">
      <c r="A14" s="2"/>
      <c r="B14" s="2"/>
      <c r="C14" s="2"/>
      <c r="D14" s="2"/>
      <c r="E14" s="86"/>
      <c r="F14" s="87"/>
      <c r="G14" s="87"/>
      <c r="H14" s="88"/>
      <c r="I14" s="89"/>
      <c r="J14" s="90" t="str">
        <f t="shared" si="0"/>
        <v/>
      </c>
    </row>
    <row r="15" spans="1:25" ht="34.5" customHeight="1">
      <c r="A15" s="2"/>
      <c r="B15" s="2"/>
      <c r="C15" s="2"/>
      <c r="D15" s="2"/>
      <c r="E15" s="86"/>
      <c r="F15" s="87"/>
      <c r="G15" s="87"/>
      <c r="H15" s="88"/>
      <c r="I15" s="89"/>
      <c r="J15" s="90" t="str">
        <f t="shared" si="0"/>
        <v/>
      </c>
    </row>
    <row r="16" spans="1:25" ht="34.5" customHeight="1">
      <c r="A16" s="2"/>
      <c r="B16" s="2"/>
      <c r="C16" s="2"/>
      <c r="D16" s="2"/>
      <c r="E16" s="86"/>
      <c r="F16" s="87"/>
      <c r="G16" s="87"/>
      <c r="H16" s="88"/>
      <c r="I16" s="89"/>
      <c r="J16" s="90" t="str">
        <f t="shared" si="0"/>
        <v/>
      </c>
    </row>
    <row r="17" spans="1:10" ht="34.5" customHeight="1">
      <c r="A17" s="2"/>
      <c r="B17" s="2"/>
      <c r="C17" s="2"/>
      <c r="D17" s="2"/>
      <c r="E17" s="86"/>
      <c r="F17" s="87"/>
      <c r="G17" s="87"/>
      <c r="H17" s="88"/>
      <c r="I17" s="89"/>
      <c r="J17" s="90" t="str">
        <f t="shared" si="0"/>
        <v/>
      </c>
    </row>
    <row r="18" spans="1:10" ht="34.5" customHeight="1">
      <c r="A18" s="2"/>
      <c r="B18" s="2"/>
      <c r="C18" s="2"/>
      <c r="D18" s="2"/>
      <c r="E18" s="86"/>
      <c r="F18" s="87"/>
      <c r="G18" s="87"/>
      <c r="H18" s="88"/>
      <c r="I18" s="91"/>
      <c r="J18" s="90" t="str">
        <f t="shared" si="0"/>
        <v/>
      </c>
    </row>
    <row r="19" spans="1:10" ht="34.5" customHeight="1">
      <c r="A19" s="2"/>
      <c r="B19" s="2"/>
      <c r="C19" s="2"/>
      <c r="D19" s="2"/>
      <c r="E19" s="86"/>
      <c r="F19" s="87"/>
      <c r="G19" s="87"/>
      <c r="H19" s="88"/>
      <c r="I19" s="91"/>
      <c r="J19" s="90" t="str">
        <f t="shared" si="0"/>
        <v/>
      </c>
    </row>
    <row r="20" spans="1:10" ht="34.5" customHeight="1">
      <c r="A20" s="2"/>
      <c r="B20" s="2"/>
      <c r="C20" s="2"/>
      <c r="D20" s="2"/>
      <c r="E20" s="86"/>
      <c r="F20" s="87"/>
      <c r="G20" s="87"/>
      <c r="H20" s="88"/>
      <c r="I20" s="91"/>
      <c r="J20" s="90" t="str">
        <f t="shared" si="0"/>
        <v/>
      </c>
    </row>
    <row r="21" spans="1:10" ht="34.5" customHeight="1">
      <c r="A21" s="2"/>
      <c r="B21" s="2"/>
      <c r="C21" s="2"/>
      <c r="D21" s="2"/>
      <c r="E21" s="86"/>
      <c r="F21" s="87"/>
      <c r="G21" s="87"/>
      <c r="H21" s="88"/>
      <c r="I21" s="91"/>
      <c r="J21" s="90" t="str">
        <f t="shared" si="0"/>
        <v/>
      </c>
    </row>
    <row r="22" spans="1:10" ht="34.5" customHeight="1">
      <c r="A22" s="2"/>
      <c r="B22" s="2"/>
      <c r="C22" s="2"/>
      <c r="D22" s="2"/>
      <c r="E22" s="86"/>
      <c r="F22" s="87"/>
      <c r="G22" s="87"/>
      <c r="H22" s="88"/>
      <c r="I22" s="91"/>
      <c r="J22" s="90" t="str">
        <f t="shared" si="0"/>
        <v/>
      </c>
    </row>
    <row r="23" spans="1:10" ht="34.5" customHeight="1">
      <c r="A23" s="2"/>
      <c r="B23" s="2"/>
      <c r="C23" s="2"/>
      <c r="D23" s="2"/>
      <c r="E23" s="86"/>
      <c r="F23" s="87"/>
      <c r="G23" s="87"/>
      <c r="H23" s="88"/>
      <c r="I23" s="91"/>
      <c r="J23" s="90" t="str">
        <f t="shared" si="0"/>
        <v/>
      </c>
    </row>
    <row r="24" spans="1:10" ht="34.5" customHeight="1">
      <c r="A24" s="2"/>
      <c r="B24" s="2"/>
      <c r="C24" s="2"/>
      <c r="D24" s="2"/>
      <c r="E24" s="86"/>
      <c r="F24" s="87"/>
      <c r="G24" s="87"/>
      <c r="H24" s="88"/>
      <c r="I24" s="91"/>
      <c r="J24" s="90" t="str">
        <f t="shared" si="0"/>
        <v/>
      </c>
    </row>
    <row r="25" spans="1:10" ht="34.5" customHeight="1">
      <c r="A25" s="2"/>
      <c r="B25" s="2"/>
      <c r="C25" s="2"/>
      <c r="D25" s="2"/>
      <c r="E25" s="86"/>
      <c r="F25" s="87"/>
      <c r="G25" s="87"/>
      <c r="H25" s="88"/>
      <c r="I25" s="91"/>
      <c r="J25" s="90" t="str">
        <f t="shared" si="0"/>
        <v/>
      </c>
    </row>
    <row r="26" spans="1:10" ht="34.5" customHeight="1">
      <c r="A26" s="2"/>
      <c r="B26" s="2"/>
      <c r="C26" s="2"/>
      <c r="D26" s="2"/>
      <c r="E26" s="86"/>
      <c r="F26" s="87"/>
      <c r="G26" s="87"/>
      <c r="H26" s="88"/>
      <c r="I26" s="91"/>
      <c r="J26" s="90" t="str">
        <f t="shared" si="0"/>
        <v/>
      </c>
    </row>
    <row r="27" spans="1:10" ht="34.5" customHeight="1">
      <c r="A27" s="2"/>
      <c r="B27" s="2"/>
      <c r="C27" s="2"/>
      <c r="D27" s="2"/>
      <c r="E27" s="86"/>
      <c r="F27" s="87"/>
      <c r="G27" s="87"/>
      <c r="H27" s="88"/>
      <c r="I27" s="91"/>
      <c r="J27" s="90" t="str">
        <f t="shared" si="0"/>
        <v/>
      </c>
    </row>
    <row r="28" spans="1:10" ht="34.5" customHeight="1">
      <c r="A28" s="2"/>
      <c r="B28" s="2"/>
      <c r="C28" s="2"/>
      <c r="D28" s="2"/>
      <c r="E28" s="86"/>
      <c r="F28" s="87"/>
      <c r="G28" s="87"/>
      <c r="H28" s="88"/>
      <c r="I28" s="91"/>
      <c r="J28" s="90" t="str">
        <f t="shared" si="0"/>
        <v/>
      </c>
    </row>
    <row r="29" spans="1:10" ht="34.5" customHeight="1">
      <c r="A29" s="2"/>
      <c r="B29" s="2"/>
      <c r="C29" s="2"/>
      <c r="D29" s="2"/>
      <c r="E29" s="86"/>
      <c r="F29" s="87"/>
      <c r="G29" s="87"/>
      <c r="H29" s="88"/>
      <c r="I29" s="91"/>
      <c r="J29" s="90" t="str">
        <f t="shared" si="0"/>
        <v/>
      </c>
    </row>
    <row r="30" spans="1:10" ht="34.5" customHeight="1">
      <c r="A30" s="2"/>
      <c r="B30" s="2"/>
      <c r="C30" s="2"/>
      <c r="D30" s="2"/>
      <c r="E30" s="86"/>
      <c r="F30" s="87"/>
      <c r="G30" s="87"/>
      <c r="H30" s="88"/>
      <c r="I30" s="91"/>
      <c r="J30" s="90" t="str">
        <f t="shared" si="0"/>
        <v/>
      </c>
    </row>
  </sheetData>
  <sheetProtection algorithmName="SHA-512" hashValue="77hkoKnqASEaesqMRElVzbFE2HUW4Dm9KxVhtWby5j69/qHmPdfwee6fs/aqJSOWoswuaVwQ93Pnc42nDYtjfA==" saltValue="Z+f36bg3Tgf4KwzbtrbupA==" spinCount="100000" sheet="1" objects="1" scenarios="1"/>
  <sortState xmlns:xlrd2="http://schemas.microsoft.com/office/spreadsheetml/2017/richdata2" ref="E3:I30">
    <sortCondition ref="E3"/>
  </sortState>
  <mergeCells count="3">
    <mergeCell ref="L8:N8"/>
    <mergeCell ref="L9:N9"/>
    <mergeCell ref="L10:N10"/>
  </mergeCells>
  <conditionalFormatting sqref="L9:N10">
    <cfRule type="uniqueValues" dxfId="319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ExportCalendarToExcel">
                <anchor>
                  <from>
                    <xdr:col>1</xdr:col>
                    <xdr:colOff>12700</xdr:colOff>
                    <xdr:row>3</xdr:row>
                    <xdr:rowOff>393700</xdr:rowOff>
                  </from>
                  <to>
                    <xdr:col>2</xdr:col>
                    <xdr:colOff>584200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ClearContentsSummary">
                <anchor>
                  <from>
                    <xdr:col>1</xdr:col>
                    <xdr:colOff>12700</xdr:colOff>
                    <xdr:row>5</xdr:row>
                    <xdr:rowOff>330200</xdr:rowOff>
                  </from>
                  <to>
                    <xdr:col>2</xdr:col>
                    <xdr:colOff>584200</xdr:colOff>
                    <xdr:row>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Spinner 4">
              <controlPr defaultSize="0" autoPict="0" altText="YEAR">
                <anchor>
                  <from>
                    <xdr:col>3</xdr:col>
                    <xdr:colOff>12700</xdr:colOff>
                    <xdr:row>1</xdr:row>
                    <xdr:rowOff>0</xdr:rowOff>
                  </from>
                  <to>
                    <xdr:col>3</xdr:col>
                    <xdr:colOff>431800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6" name="Spinner 5">
              <controlPr defaultSize="0" autoPict="0">
                <anchor>
                  <from>
                    <xdr:col>3</xdr:col>
                    <xdr:colOff>12700</xdr:colOff>
                    <xdr:row>2</xdr:row>
                    <xdr:rowOff>12700</xdr:rowOff>
                  </from>
                  <to>
                    <xdr:col>3</xdr:col>
                    <xdr:colOff>431800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300FB-078A-4F04-961A-BC564A87A263}">
  <sheetPr codeName="Sheet2">
    <tabColor theme="0" tint="-0.34998626667073579"/>
  </sheetPr>
  <dimension ref="B1:D22"/>
  <sheetViews>
    <sheetView workbookViewId="0">
      <selection activeCell="J14" sqref="J14"/>
    </sheetView>
  </sheetViews>
  <sheetFormatPr baseColWidth="10" defaultColWidth="8.83203125" defaultRowHeight="16"/>
  <cols>
    <col min="1" max="1" width="8.83203125" style="55"/>
    <col min="2" max="2" width="13.33203125" style="55" customWidth="1"/>
    <col min="3" max="3" width="8.83203125" style="55"/>
    <col min="4" max="4" width="36.33203125" style="55" customWidth="1"/>
    <col min="5" max="16384" width="8.83203125" style="55"/>
  </cols>
  <sheetData>
    <row r="1" spans="2:4" ht="17" thickBot="1"/>
    <row r="2" spans="2:4">
      <c r="B2" s="46">
        <v>45079</v>
      </c>
      <c r="C2" s="47">
        <f>B2</f>
        <v>45079</v>
      </c>
      <c r="D2" s="48" t="s">
        <v>22</v>
      </c>
    </row>
    <row r="3" spans="2:4">
      <c r="B3" s="49">
        <v>45106</v>
      </c>
      <c r="C3" s="50">
        <f t="shared" ref="C3:C22" si="0">B3</f>
        <v>45106</v>
      </c>
      <c r="D3" s="51" t="s">
        <v>87</v>
      </c>
    </row>
    <row r="4" spans="2:4">
      <c r="B4" s="49">
        <v>45147</v>
      </c>
      <c r="C4" s="50">
        <f t="shared" si="0"/>
        <v>45147</v>
      </c>
      <c r="D4" s="51" t="s">
        <v>23</v>
      </c>
    </row>
    <row r="5" spans="2:4">
      <c r="B5" s="49">
        <v>45242</v>
      </c>
      <c r="C5" s="50">
        <f t="shared" si="0"/>
        <v>45242</v>
      </c>
      <c r="D5" s="51" t="s">
        <v>24</v>
      </c>
    </row>
    <row r="6" spans="2:4">
      <c r="B6" s="49">
        <v>45243</v>
      </c>
      <c r="C6" s="50">
        <f t="shared" si="0"/>
        <v>45243</v>
      </c>
      <c r="D6" s="51" t="s">
        <v>88</v>
      </c>
    </row>
    <row r="7" spans="2:4">
      <c r="B7" s="49">
        <v>45285</v>
      </c>
      <c r="C7" s="50">
        <f t="shared" si="0"/>
        <v>45285</v>
      </c>
      <c r="D7" s="51" t="s">
        <v>89</v>
      </c>
    </row>
    <row r="8" spans="2:4">
      <c r="B8" s="49"/>
      <c r="C8" s="50">
        <f t="shared" si="0"/>
        <v>0</v>
      </c>
      <c r="D8" s="51"/>
    </row>
    <row r="9" spans="2:4">
      <c r="B9" s="49"/>
      <c r="C9" s="50">
        <f t="shared" si="0"/>
        <v>0</v>
      </c>
      <c r="D9" s="51"/>
    </row>
    <row r="10" spans="2:4">
      <c r="B10" s="49"/>
      <c r="C10" s="50">
        <f t="shared" si="0"/>
        <v>0</v>
      </c>
      <c r="D10" s="51"/>
    </row>
    <row r="11" spans="2:4">
      <c r="B11" s="49"/>
      <c r="C11" s="50">
        <f t="shared" si="0"/>
        <v>0</v>
      </c>
      <c r="D11" s="51"/>
    </row>
    <row r="12" spans="2:4">
      <c r="B12" s="49"/>
      <c r="C12" s="50">
        <f t="shared" si="0"/>
        <v>0</v>
      </c>
      <c r="D12" s="51"/>
    </row>
    <row r="13" spans="2:4">
      <c r="B13" s="49"/>
      <c r="C13" s="50">
        <f t="shared" si="0"/>
        <v>0</v>
      </c>
      <c r="D13" s="51"/>
    </row>
    <row r="14" spans="2:4">
      <c r="B14" s="49"/>
      <c r="C14" s="50">
        <f t="shared" si="0"/>
        <v>0</v>
      </c>
      <c r="D14" s="51"/>
    </row>
    <row r="15" spans="2:4">
      <c r="B15" s="49"/>
      <c r="C15" s="50">
        <f t="shared" si="0"/>
        <v>0</v>
      </c>
      <c r="D15" s="51"/>
    </row>
    <row r="16" spans="2:4">
      <c r="B16" s="49"/>
      <c r="C16" s="50">
        <f t="shared" si="0"/>
        <v>0</v>
      </c>
      <c r="D16" s="51"/>
    </row>
    <row r="17" spans="2:4">
      <c r="B17" s="49"/>
      <c r="C17" s="50">
        <f t="shared" si="0"/>
        <v>0</v>
      </c>
      <c r="D17" s="51"/>
    </row>
    <row r="18" spans="2:4">
      <c r="B18" s="49"/>
      <c r="C18" s="50">
        <f t="shared" si="0"/>
        <v>0</v>
      </c>
      <c r="D18" s="51"/>
    </row>
    <row r="19" spans="2:4">
      <c r="B19" s="49"/>
      <c r="C19" s="50">
        <f t="shared" si="0"/>
        <v>0</v>
      </c>
      <c r="D19" s="51"/>
    </row>
    <row r="20" spans="2:4">
      <c r="B20" s="49"/>
      <c r="C20" s="50">
        <f t="shared" si="0"/>
        <v>0</v>
      </c>
      <c r="D20" s="51"/>
    </row>
    <row r="21" spans="2:4">
      <c r="B21" s="49"/>
      <c r="C21" s="50">
        <f t="shared" si="0"/>
        <v>0</v>
      </c>
      <c r="D21" s="51"/>
    </row>
    <row r="22" spans="2:4" ht="17" thickBot="1">
      <c r="B22" s="52"/>
      <c r="C22" s="53">
        <f t="shared" si="0"/>
        <v>0</v>
      </c>
      <c r="D22" s="54"/>
    </row>
  </sheetData>
  <sheetProtection algorithmName="SHA-512" hashValue="Sc3aHtGbr4ZQltXZEf3iI/HkRHL9jcmbrqxDEg6LXzPf53vv8bDd1MTQK7r6cUyutwRXcQngPs5EQ4ibqE/KLw==" saltValue="tG0ns1AXM1/Llb9pZ1Supg==" spinCount="100000" sheet="1" objects="1" scenarios="1"/>
  <conditionalFormatting sqref="B2:D22">
    <cfRule type="expression" dxfId="318" priority="1">
      <formula>OR(WEEKDAY($B2)=1, WEEKDAY($B2)=7)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B8345-D975-45F1-AF1E-D67F085B8AF8}">
  <sheetPr codeName="Sheet3">
    <tabColor theme="0" tint="-0.34998626667073579"/>
  </sheetPr>
  <dimension ref="A1:AW83"/>
  <sheetViews>
    <sheetView showZeros="0" topLeftCell="N1" zoomScale="44" zoomScaleNormal="60" zoomScaleSheetLayoutView="41" workbookViewId="0">
      <pane ySplit="7" topLeftCell="A8" activePane="bottomLeft" state="frozen"/>
      <selection pane="bottomLeft" activeCell="AN24" sqref="AN24"/>
    </sheetView>
  </sheetViews>
  <sheetFormatPr baseColWidth="10" defaultColWidth="11.83203125" defaultRowHeight="16"/>
  <cols>
    <col min="1" max="1" width="7.33203125" style="11" customWidth="1"/>
    <col min="2" max="2" width="13" style="11" customWidth="1"/>
    <col min="3" max="3" width="11.83203125" style="11"/>
    <col min="4" max="4" width="39.6640625" style="11" customWidth="1"/>
    <col min="5" max="5" width="16" style="11" bestFit="1" customWidth="1"/>
    <col min="6" max="7" width="7.5" style="11" customWidth="1"/>
    <col min="8" max="8" width="11.83203125" style="11"/>
    <col min="9" max="9" width="13" style="11" customWidth="1"/>
    <col min="10" max="10" width="11.83203125" style="11"/>
    <col min="11" max="11" width="39.6640625" style="11" customWidth="1"/>
    <col min="12" max="12" width="16" style="11" bestFit="1" customWidth="1"/>
    <col min="13" max="14" width="7.5" style="11" customWidth="1"/>
    <col min="15" max="15" width="11.83203125" style="11" customWidth="1"/>
    <col min="16" max="16" width="13" style="11" customWidth="1"/>
    <col min="17" max="17" width="11.83203125" style="11"/>
    <col min="18" max="18" width="39.6640625" style="11" customWidth="1"/>
    <col min="19" max="19" width="16" style="11" bestFit="1" customWidth="1"/>
    <col min="20" max="21" width="7.5" style="11" customWidth="1"/>
    <col min="22" max="22" width="11.83203125" style="11"/>
    <col min="23" max="23" width="13" style="11" customWidth="1"/>
    <col min="24" max="24" width="11.83203125" style="11"/>
    <col min="25" max="25" width="39.6640625" style="11" customWidth="1"/>
    <col min="26" max="26" width="16" style="11" bestFit="1" customWidth="1"/>
    <col min="27" max="28" width="7.5" style="11" customWidth="1"/>
    <col min="29" max="29" width="11.83203125" style="11"/>
    <col min="30" max="30" width="13" style="11" customWidth="1"/>
    <col min="31" max="31" width="11.83203125" style="11"/>
    <col min="32" max="32" width="39.6640625" style="11" customWidth="1"/>
    <col min="33" max="33" width="16" style="11" bestFit="1" customWidth="1"/>
    <col min="34" max="35" width="7.5" style="11" customWidth="1"/>
    <col min="36" max="36" width="11.83203125" style="11"/>
    <col min="37" max="37" width="8.6640625" style="11" customWidth="1"/>
    <col min="38" max="38" width="7.1640625" style="11" customWidth="1"/>
    <col min="39" max="39" width="12.33203125" style="11" customWidth="1"/>
    <col min="40" max="40" width="11.83203125" style="11"/>
    <col min="41" max="41" width="4.6640625" style="11" customWidth="1"/>
    <col min="42" max="42" width="6" style="11" customWidth="1"/>
    <col min="43" max="49" width="5.5" style="11" customWidth="1"/>
    <col min="50" max="16384" width="11.83203125" style="11"/>
  </cols>
  <sheetData>
    <row r="1" spans="1:49" ht="45" customHeight="1" thickBot="1">
      <c r="A1" s="8"/>
      <c r="B1" s="145">
        <f>DATE(AN2,AN5,1)</f>
        <v>45170</v>
      </c>
      <c r="C1" s="146"/>
      <c r="D1" s="146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10"/>
      <c r="AK1" s="8"/>
      <c r="AL1" s="64"/>
      <c r="AM1" s="147" t="s">
        <v>25</v>
      </c>
      <c r="AN1" s="147"/>
      <c r="AO1" s="147"/>
      <c r="AP1" s="12"/>
    </row>
    <row r="2" spans="1:49" ht="26" customHeight="1" thickBot="1">
      <c r="A2" s="8"/>
      <c r="B2" s="148" t="s">
        <v>7</v>
      </c>
      <c r="C2" s="147"/>
      <c r="D2" s="147"/>
      <c r="E2" s="147"/>
      <c r="F2" s="147"/>
      <c r="G2" s="147"/>
      <c r="H2" s="149"/>
      <c r="I2" s="148" t="s">
        <v>10</v>
      </c>
      <c r="J2" s="147"/>
      <c r="K2" s="147"/>
      <c r="L2" s="147"/>
      <c r="M2" s="147"/>
      <c r="N2" s="147"/>
      <c r="O2" s="149"/>
      <c r="P2" s="148" t="s">
        <v>11</v>
      </c>
      <c r="Q2" s="147"/>
      <c r="R2" s="147"/>
      <c r="S2" s="147"/>
      <c r="T2" s="147"/>
      <c r="U2" s="147"/>
      <c r="V2" s="149"/>
      <c r="W2" s="148" t="s">
        <v>12</v>
      </c>
      <c r="X2" s="147"/>
      <c r="Y2" s="147"/>
      <c r="Z2" s="147"/>
      <c r="AA2" s="147"/>
      <c r="AB2" s="147"/>
      <c r="AC2" s="149"/>
      <c r="AD2" s="148" t="s">
        <v>13</v>
      </c>
      <c r="AE2" s="147"/>
      <c r="AF2" s="147"/>
      <c r="AG2" s="147"/>
      <c r="AH2" s="147"/>
      <c r="AI2" s="147"/>
      <c r="AJ2" s="149"/>
      <c r="AK2" s="8"/>
      <c r="AL2" s="8"/>
      <c r="AM2" s="139" t="s">
        <v>20</v>
      </c>
      <c r="AN2" s="141">
        <v>2023</v>
      </c>
      <c r="AO2" s="13"/>
      <c r="AQ2" s="7"/>
      <c r="AR2" s="7"/>
      <c r="AS2" s="7"/>
      <c r="AT2" s="7"/>
      <c r="AU2" s="7"/>
      <c r="AV2" s="7"/>
      <c r="AW2" s="7"/>
    </row>
    <row r="3" spans="1:49" ht="17" thickBot="1">
      <c r="A3" s="8"/>
      <c r="B3" s="14" t="s">
        <v>0</v>
      </c>
      <c r="C3" s="15" t="s">
        <v>1</v>
      </c>
      <c r="D3" s="15" t="s">
        <v>2</v>
      </c>
      <c r="E3" s="15" t="s">
        <v>3</v>
      </c>
      <c r="F3" s="15" t="s">
        <v>4</v>
      </c>
      <c r="G3" s="15" t="s">
        <v>5</v>
      </c>
      <c r="H3" s="16" t="s">
        <v>6</v>
      </c>
      <c r="I3" s="14" t="s">
        <v>0</v>
      </c>
      <c r="J3" s="15" t="s">
        <v>1</v>
      </c>
      <c r="K3" s="15" t="s">
        <v>2</v>
      </c>
      <c r="L3" s="15" t="s">
        <v>3</v>
      </c>
      <c r="M3" s="15" t="s">
        <v>4</v>
      </c>
      <c r="N3" s="15" t="s">
        <v>5</v>
      </c>
      <c r="O3" s="16" t="s">
        <v>6</v>
      </c>
      <c r="P3" s="14" t="s">
        <v>0</v>
      </c>
      <c r="Q3" s="15" t="s">
        <v>1</v>
      </c>
      <c r="R3" s="15" t="s">
        <v>2</v>
      </c>
      <c r="S3" s="15" t="s">
        <v>3</v>
      </c>
      <c r="T3" s="15" t="s">
        <v>4</v>
      </c>
      <c r="U3" s="15" t="s">
        <v>5</v>
      </c>
      <c r="V3" s="16" t="s">
        <v>6</v>
      </c>
      <c r="W3" s="14" t="s">
        <v>0</v>
      </c>
      <c r="X3" s="15" t="s">
        <v>1</v>
      </c>
      <c r="Y3" s="15" t="s">
        <v>2</v>
      </c>
      <c r="Z3" s="15" t="s">
        <v>3</v>
      </c>
      <c r="AA3" s="15" t="s">
        <v>4</v>
      </c>
      <c r="AB3" s="15" t="s">
        <v>5</v>
      </c>
      <c r="AC3" s="16" t="s">
        <v>6</v>
      </c>
      <c r="AD3" s="14" t="s">
        <v>0</v>
      </c>
      <c r="AE3" s="15" t="s">
        <v>1</v>
      </c>
      <c r="AF3" s="15" t="s">
        <v>2</v>
      </c>
      <c r="AG3" s="15" t="s">
        <v>3</v>
      </c>
      <c r="AH3" s="15" t="s">
        <v>4</v>
      </c>
      <c r="AI3" s="15" t="s">
        <v>5</v>
      </c>
      <c r="AJ3" s="16" t="s">
        <v>6</v>
      </c>
      <c r="AK3" s="8"/>
      <c r="AL3" s="8"/>
      <c r="AM3" s="140"/>
      <c r="AN3" s="142"/>
      <c r="AO3" s="17"/>
      <c r="AQ3" s="7"/>
      <c r="AR3" s="7"/>
      <c r="AS3" s="7"/>
      <c r="AT3" s="7"/>
      <c r="AU3" s="7"/>
      <c r="AV3" s="7"/>
      <c r="AW3" s="7"/>
    </row>
    <row r="4" spans="1:49" ht="17" thickBot="1">
      <c r="A4" s="8"/>
      <c r="B4" s="18"/>
      <c r="C4" s="19"/>
      <c r="D4" s="19"/>
      <c r="E4" s="19"/>
      <c r="F4" s="19"/>
      <c r="G4" s="19"/>
      <c r="H4" s="20"/>
      <c r="I4" s="18"/>
      <c r="J4" s="19"/>
      <c r="K4" s="19"/>
      <c r="L4" s="19"/>
      <c r="M4" s="19"/>
      <c r="N4" s="19"/>
      <c r="O4" s="20"/>
      <c r="P4" s="18"/>
      <c r="Q4" s="19"/>
      <c r="R4" s="19"/>
      <c r="S4" s="19"/>
      <c r="T4" s="19"/>
      <c r="U4" s="19"/>
      <c r="V4" s="20"/>
      <c r="W4" s="18"/>
      <c r="X4" s="19"/>
      <c r="Y4" s="19"/>
      <c r="Z4" s="19"/>
      <c r="AA4" s="19"/>
      <c r="AB4" s="19"/>
      <c r="AC4" s="20"/>
      <c r="AD4" s="18"/>
      <c r="AE4" s="19"/>
      <c r="AF4" s="19"/>
      <c r="AG4" s="19"/>
      <c r="AH4" s="19"/>
      <c r="AI4" s="19"/>
      <c r="AJ4" s="20"/>
      <c r="AK4" s="8"/>
      <c r="AL4" s="8"/>
      <c r="AM4" s="21"/>
      <c r="AN4" s="21"/>
      <c r="AQ4" s="7"/>
      <c r="AR4" s="7"/>
      <c r="AS4" s="7"/>
      <c r="AT4" s="7"/>
      <c r="AU4" s="7"/>
      <c r="AV4" s="7"/>
      <c r="AW4" s="7"/>
    </row>
    <row r="5" spans="1:49" ht="18">
      <c r="A5" s="8"/>
      <c r="B5" s="22"/>
      <c r="C5" s="4" t="s">
        <v>14</v>
      </c>
      <c r="D5" s="4"/>
      <c r="E5" s="3"/>
      <c r="F5" s="23"/>
      <c r="G5" s="3"/>
      <c r="H5" s="24"/>
      <c r="I5" s="22"/>
      <c r="J5" s="5" t="s">
        <v>15</v>
      </c>
      <c r="K5" s="6"/>
      <c r="L5" s="25"/>
      <c r="M5" s="25"/>
      <c r="N5" s="25"/>
      <c r="O5" s="24"/>
      <c r="P5" s="22"/>
      <c r="Q5" s="5" t="s">
        <v>17</v>
      </c>
      <c r="R5" s="6"/>
      <c r="S5" s="25"/>
      <c r="T5" s="25"/>
      <c r="U5" s="25"/>
      <c r="V5" s="24"/>
      <c r="W5" s="22"/>
      <c r="X5" s="25"/>
      <c r="Y5" s="25"/>
      <c r="Z5" s="25"/>
      <c r="AA5" s="25"/>
      <c r="AB5" s="25"/>
      <c r="AC5" s="24"/>
      <c r="AD5" s="22"/>
      <c r="AE5" s="5" t="s">
        <v>19</v>
      </c>
      <c r="AF5" s="6"/>
      <c r="AG5" s="25"/>
      <c r="AH5" s="25"/>
      <c r="AI5" s="25"/>
      <c r="AJ5" s="24"/>
      <c r="AK5" s="8"/>
      <c r="AL5" s="8"/>
      <c r="AM5" s="139" t="s">
        <v>21</v>
      </c>
      <c r="AN5" s="141">
        <v>9</v>
      </c>
      <c r="AO5" s="13"/>
      <c r="AQ5" s="7"/>
      <c r="AR5" s="7"/>
      <c r="AS5" s="7"/>
      <c r="AT5" s="7"/>
      <c r="AU5" s="7"/>
      <c r="AV5" s="7"/>
      <c r="AW5" s="7"/>
    </row>
    <row r="6" spans="1:49" ht="17" thickBot="1">
      <c r="A6" s="8"/>
      <c r="B6" s="22"/>
      <c r="C6" s="4" t="s">
        <v>26</v>
      </c>
      <c r="D6" s="4"/>
      <c r="E6" s="3"/>
      <c r="F6" s="23"/>
      <c r="G6" s="3"/>
      <c r="H6" s="24"/>
      <c r="I6" s="22"/>
      <c r="J6" s="6" t="s">
        <v>16</v>
      </c>
      <c r="K6" s="6"/>
      <c r="L6" s="25"/>
      <c r="M6" s="25"/>
      <c r="N6" s="25"/>
      <c r="O6" s="24"/>
      <c r="P6" s="22"/>
      <c r="Q6" s="6" t="s">
        <v>18</v>
      </c>
      <c r="R6" s="6"/>
      <c r="S6" s="25"/>
      <c r="T6" s="25"/>
      <c r="U6" s="25"/>
      <c r="V6" s="24"/>
      <c r="W6" s="22"/>
      <c r="X6" s="25"/>
      <c r="Y6" s="25"/>
      <c r="Z6" s="25"/>
      <c r="AA6" s="25"/>
      <c r="AB6" s="25"/>
      <c r="AC6" s="24"/>
      <c r="AD6" s="22"/>
      <c r="AE6" s="6" t="s">
        <v>16</v>
      </c>
      <c r="AF6" s="6"/>
      <c r="AG6" s="25"/>
      <c r="AH6" s="25"/>
      <c r="AI6" s="25"/>
      <c r="AJ6" s="24"/>
      <c r="AK6" s="8"/>
      <c r="AL6" s="8"/>
      <c r="AM6" s="140"/>
      <c r="AN6" s="142"/>
      <c r="AO6" s="17"/>
      <c r="AQ6" s="7"/>
      <c r="AR6" s="7"/>
      <c r="AS6" s="7"/>
      <c r="AT6" s="7"/>
      <c r="AU6" s="7"/>
      <c r="AV6" s="7"/>
      <c r="AW6" s="7"/>
    </row>
    <row r="7" spans="1:49" ht="17" thickBot="1">
      <c r="A7" s="8"/>
      <c r="B7" s="26"/>
      <c r="C7" s="27"/>
      <c r="D7" s="27"/>
      <c r="E7" s="27"/>
      <c r="F7" s="27"/>
      <c r="G7" s="27"/>
      <c r="H7" s="28"/>
      <c r="I7" s="26"/>
      <c r="J7" s="27"/>
      <c r="K7" s="27"/>
      <c r="L7" s="27"/>
      <c r="M7" s="27"/>
      <c r="N7" s="27"/>
      <c r="O7" s="28"/>
      <c r="P7" s="26"/>
      <c r="Q7" s="27"/>
      <c r="R7" s="27"/>
      <c r="S7" s="27"/>
      <c r="T7" s="27"/>
      <c r="U7" s="27"/>
      <c r="V7" s="28"/>
      <c r="W7" s="26"/>
      <c r="X7" s="27"/>
      <c r="Y7" s="27"/>
      <c r="Z7" s="27"/>
      <c r="AA7" s="27"/>
      <c r="AB7" s="27"/>
      <c r="AC7" s="28"/>
      <c r="AD7" s="26"/>
      <c r="AE7" s="27"/>
      <c r="AF7" s="27"/>
      <c r="AG7" s="27"/>
      <c r="AH7" s="27"/>
      <c r="AI7" s="27"/>
      <c r="AJ7" s="28"/>
      <c r="AK7" s="8"/>
      <c r="AL7" s="8"/>
      <c r="AQ7" s="7"/>
      <c r="AR7" s="7"/>
      <c r="AS7" s="7"/>
      <c r="AT7" s="7"/>
      <c r="AU7" s="7"/>
      <c r="AV7" s="7"/>
      <c r="AW7" s="7"/>
    </row>
    <row r="8" spans="1:49" ht="21" customHeight="1">
      <c r="A8" s="8"/>
      <c r="B8" s="143" t="str">
        <f>IFERROR(VLOOKUP($H$8,HOLIDAYS!$B$2:$D$22,3,FALSE),"")</f>
        <v/>
      </c>
      <c r="C8" s="144"/>
      <c r="D8" s="144"/>
      <c r="E8" s="144"/>
      <c r="F8" s="144"/>
      <c r="G8" s="144"/>
      <c r="H8" s="29">
        <f>DATE(AN2,AN5,1)-WEEKDAY(DATE(AN2,AN5,1),2)+1</f>
        <v>45166</v>
      </c>
      <c r="I8" s="143" t="str">
        <f>IFERROR(VLOOKUP($O$8,HOLIDAYS!$B$2:$D$22,3,FALSE),"")</f>
        <v/>
      </c>
      <c r="J8" s="144"/>
      <c r="K8" s="144"/>
      <c r="L8" s="144"/>
      <c r="M8" s="144"/>
      <c r="N8" s="144"/>
      <c r="O8" s="30">
        <f>DATE(AN2,AN5,1)-WEEKDAY(DATE(AN2,AN5,1),2)+2</f>
        <v>45167</v>
      </c>
      <c r="P8" s="137" t="str">
        <f>IFERROR(VLOOKUP($V$8,HOLIDAYS!$B$2:$D$22,3,FALSE),"")</f>
        <v/>
      </c>
      <c r="Q8" s="138"/>
      <c r="R8" s="138"/>
      <c r="S8" s="138"/>
      <c r="T8" s="138"/>
      <c r="U8" s="138"/>
      <c r="V8" s="30">
        <f>DATE(AN2,AN5,1)-WEEKDAY(DATE(AN2,AN5,1),2)+3</f>
        <v>45168</v>
      </c>
      <c r="W8" s="137" t="str">
        <f>IFERROR(VLOOKUP($AC$8,HOLIDAYS!$B$2:$D$22,3,FALSE),"")</f>
        <v/>
      </c>
      <c r="X8" s="138"/>
      <c r="Y8" s="138"/>
      <c r="Z8" s="138"/>
      <c r="AA8" s="138"/>
      <c r="AB8" s="138"/>
      <c r="AC8" s="30">
        <f>DATE(AN2,AN5,1)-WEEKDAY(DATE(AN2,AN5,1),2)+4</f>
        <v>45169</v>
      </c>
      <c r="AD8" s="137" t="str">
        <f>IFERROR(VLOOKUP($AJ$8,HOLIDAYS!$B$2:$D$22,3,FALSE),"")</f>
        <v/>
      </c>
      <c r="AE8" s="138"/>
      <c r="AF8" s="138"/>
      <c r="AG8" s="138"/>
      <c r="AH8" s="138"/>
      <c r="AI8" s="138"/>
      <c r="AJ8" s="30">
        <f>DATE(AN2,AN5,1)-WEEKDAY(DATE(AN2,AN5,1),2)+5</f>
        <v>45170</v>
      </c>
      <c r="AK8" s="8"/>
      <c r="AL8" s="8"/>
    </row>
    <row r="9" spans="1:49">
      <c r="A9" s="8"/>
      <c r="B9" s="31"/>
      <c r="C9" s="32"/>
      <c r="D9" s="33"/>
      <c r="E9" s="32" t="s">
        <v>8</v>
      </c>
      <c r="F9" s="34"/>
      <c r="G9" s="34"/>
      <c r="H9" s="35"/>
      <c r="I9" s="36"/>
      <c r="J9" s="37"/>
      <c r="K9" s="38"/>
      <c r="L9" s="37" t="s">
        <v>8</v>
      </c>
      <c r="M9" s="39"/>
      <c r="N9" s="39"/>
      <c r="O9" s="40"/>
      <c r="P9" s="36"/>
      <c r="Q9" s="37"/>
      <c r="R9" s="38"/>
      <c r="S9" s="37" t="s">
        <v>8</v>
      </c>
      <c r="T9" s="39"/>
      <c r="U9" s="39"/>
      <c r="V9" s="40"/>
      <c r="W9" s="36"/>
      <c r="X9" s="37"/>
      <c r="Y9" s="38"/>
      <c r="Z9" s="37" t="s">
        <v>8</v>
      </c>
      <c r="AA9" s="39"/>
      <c r="AB9" s="39"/>
      <c r="AC9" s="40"/>
      <c r="AD9" s="36"/>
      <c r="AE9" s="37"/>
      <c r="AF9" s="38"/>
      <c r="AG9" s="37" t="s">
        <v>8</v>
      </c>
      <c r="AH9" s="39"/>
      <c r="AI9" s="39"/>
      <c r="AJ9" s="40"/>
      <c r="AK9" s="65"/>
      <c r="AL9" s="8"/>
      <c r="AM9" s="7"/>
      <c r="AN9" s="7"/>
      <c r="AO9" s="7"/>
      <c r="AP9" s="7"/>
      <c r="AQ9" s="7"/>
    </row>
    <row r="10" spans="1:49">
      <c r="A10" s="8"/>
      <c r="B10" s="36"/>
      <c r="C10" s="37"/>
      <c r="D10" s="38"/>
      <c r="E10" s="37"/>
      <c r="F10" s="39"/>
      <c r="G10" s="39"/>
      <c r="H10" s="40"/>
      <c r="I10" s="36"/>
      <c r="J10" s="37"/>
      <c r="K10" s="38"/>
      <c r="L10" s="37"/>
      <c r="M10" s="39"/>
      <c r="N10" s="39"/>
      <c r="O10" s="40"/>
      <c r="P10" s="36"/>
      <c r="Q10" s="37"/>
      <c r="R10" s="38"/>
      <c r="S10" s="37"/>
      <c r="T10" s="39"/>
      <c r="U10" s="39"/>
      <c r="V10" s="40"/>
      <c r="W10" s="36"/>
      <c r="X10" s="37"/>
      <c r="Y10" s="38"/>
      <c r="Z10" s="37"/>
      <c r="AA10" s="39"/>
      <c r="AB10" s="39"/>
      <c r="AC10" s="40"/>
      <c r="AD10" s="36"/>
      <c r="AE10" s="37"/>
      <c r="AF10" s="38"/>
      <c r="AG10" s="37"/>
      <c r="AH10" s="39"/>
      <c r="AI10" s="39"/>
      <c r="AJ10" s="40"/>
      <c r="AK10" s="65"/>
      <c r="AL10" s="8"/>
      <c r="AM10" s="7"/>
      <c r="AN10" s="7"/>
      <c r="AO10" s="7"/>
      <c r="AP10" s="7"/>
      <c r="AQ10" s="7"/>
    </row>
    <row r="11" spans="1:49">
      <c r="A11" s="8"/>
      <c r="B11" s="36"/>
      <c r="C11" s="37"/>
      <c r="D11" s="38"/>
      <c r="E11" s="37"/>
      <c r="F11" s="39"/>
      <c r="G11" s="39"/>
      <c r="H11" s="40"/>
      <c r="I11" s="36"/>
      <c r="J11" s="37"/>
      <c r="K11" s="38"/>
      <c r="L11" s="37"/>
      <c r="M11" s="39"/>
      <c r="N11" s="39"/>
      <c r="O11" s="40"/>
      <c r="P11" s="36"/>
      <c r="Q11" s="37"/>
      <c r="R11" s="38"/>
      <c r="S11" s="37"/>
      <c r="T11" s="39"/>
      <c r="U11" s="39"/>
      <c r="V11" s="40"/>
      <c r="W11" s="36"/>
      <c r="X11" s="37"/>
      <c r="Y11" s="38"/>
      <c r="Z11" s="37"/>
      <c r="AA11" s="39"/>
      <c r="AB11" s="39"/>
      <c r="AC11" s="40"/>
      <c r="AD11" s="36"/>
      <c r="AE11" s="37"/>
      <c r="AF11" s="38"/>
      <c r="AG11" s="37"/>
      <c r="AH11" s="39"/>
      <c r="AI11" s="39"/>
      <c r="AJ11" s="40"/>
      <c r="AK11" s="65"/>
      <c r="AL11" s="8"/>
      <c r="AM11" s="7"/>
      <c r="AN11" s="7"/>
      <c r="AO11" s="7"/>
      <c r="AP11" s="7"/>
      <c r="AQ11" s="7"/>
    </row>
    <row r="12" spans="1:49">
      <c r="A12" s="8"/>
      <c r="B12" s="36"/>
      <c r="C12" s="37"/>
      <c r="D12" s="38"/>
      <c r="E12" s="37"/>
      <c r="F12" s="39"/>
      <c r="G12" s="39"/>
      <c r="H12" s="40"/>
      <c r="I12" s="36"/>
      <c r="J12" s="37"/>
      <c r="K12" s="38"/>
      <c r="L12" s="37"/>
      <c r="M12" s="39"/>
      <c r="N12" s="39"/>
      <c r="O12" s="40"/>
      <c r="P12" s="36"/>
      <c r="Q12" s="37"/>
      <c r="R12" s="38"/>
      <c r="S12" s="37"/>
      <c r="T12" s="39"/>
      <c r="U12" s="39"/>
      <c r="V12" s="40"/>
      <c r="W12" s="36"/>
      <c r="X12" s="37"/>
      <c r="Y12" s="38"/>
      <c r="Z12" s="37"/>
      <c r="AA12" s="39"/>
      <c r="AB12" s="39"/>
      <c r="AC12" s="40"/>
      <c r="AD12" s="36"/>
      <c r="AE12" s="37"/>
      <c r="AF12" s="38"/>
      <c r="AG12" s="37"/>
      <c r="AH12" s="39"/>
      <c r="AI12" s="39"/>
      <c r="AJ12" s="40"/>
      <c r="AK12" s="65"/>
      <c r="AL12" s="8"/>
      <c r="AM12" s="7"/>
      <c r="AN12" s="7"/>
      <c r="AO12" s="7"/>
      <c r="AP12" s="7"/>
      <c r="AQ12" s="7"/>
    </row>
    <row r="13" spans="1:49">
      <c r="A13" s="8"/>
      <c r="B13" s="36"/>
      <c r="C13" s="37"/>
      <c r="D13" s="38"/>
      <c r="E13" s="37"/>
      <c r="F13" s="39"/>
      <c r="G13" s="39"/>
      <c r="H13" s="40"/>
      <c r="I13" s="36"/>
      <c r="J13" s="37"/>
      <c r="K13" s="38"/>
      <c r="L13" s="37"/>
      <c r="M13" s="39"/>
      <c r="N13" s="39"/>
      <c r="O13" s="40"/>
      <c r="P13" s="36"/>
      <c r="Q13" s="37"/>
      <c r="R13" s="38"/>
      <c r="S13" s="37"/>
      <c r="T13" s="39"/>
      <c r="U13" s="39"/>
      <c r="V13" s="40"/>
      <c r="W13" s="36"/>
      <c r="X13" s="37"/>
      <c r="Y13" s="38"/>
      <c r="Z13" s="37"/>
      <c r="AA13" s="39"/>
      <c r="AB13" s="39"/>
      <c r="AC13" s="40"/>
      <c r="AD13" s="36"/>
      <c r="AE13" s="37"/>
      <c r="AF13" s="38"/>
      <c r="AG13" s="37"/>
      <c r="AH13" s="39"/>
      <c r="AI13" s="39"/>
      <c r="AJ13" s="40"/>
      <c r="AK13" s="65"/>
      <c r="AL13" s="8"/>
      <c r="AM13" s="7"/>
      <c r="AN13" s="7"/>
      <c r="AO13" s="7"/>
      <c r="AP13" s="7"/>
      <c r="AQ13" s="7"/>
    </row>
    <row r="14" spans="1:49">
      <c r="A14" s="8"/>
      <c r="B14" s="36"/>
      <c r="C14" s="37"/>
      <c r="D14" s="38"/>
      <c r="E14" s="37" t="s">
        <v>9</v>
      </c>
      <c r="F14" s="39"/>
      <c r="G14" s="39"/>
      <c r="H14" s="40"/>
      <c r="I14" s="36"/>
      <c r="J14" s="37"/>
      <c r="K14" s="38"/>
      <c r="L14" s="37" t="s">
        <v>9</v>
      </c>
      <c r="M14" s="39"/>
      <c r="N14" s="39"/>
      <c r="O14" s="40"/>
      <c r="P14" s="36"/>
      <c r="Q14" s="37"/>
      <c r="R14" s="38"/>
      <c r="S14" s="37" t="s">
        <v>9</v>
      </c>
      <c r="T14" s="39"/>
      <c r="U14" s="39"/>
      <c r="V14" s="40"/>
      <c r="W14" s="36"/>
      <c r="X14" s="37"/>
      <c r="Y14" s="38"/>
      <c r="Z14" s="37" t="s">
        <v>9</v>
      </c>
      <c r="AA14" s="39"/>
      <c r="AB14" s="39"/>
      <c r="AC14" s="40"/>
      <c r="AD14" s="36"/>
      <c r="AE14" s="37"/>
      <c r="AF14" s="38"/>
      <c r="AG14" s="37" t="s">
        <v>9</v>
      </c>
      <c r="AH14" s="39"/>
      <c r="AI14" s="39"/>
      <c r="AJ14" s="40"/>
      <c r="AK14" s="65"/>
      <c r="AL14" s="8"/>
      <c r="AM14" s="7"/>
      <c r="AN14" s="7"/>
      <c r="AO14" s="7"/>
      <c r="AP14" s="7"/>
      <c r="AQ14" s="7"/>
    </row>
    <row r="15" spans="1:49">
      <c r="A15" s="8"/>
      <c r="B15" s="36"/>
      <c r="C15" s="37"/>
      <c r="D15" s="38"/>
      <c r="E15" s="37"/>
      <c r="F15" s="39"/>
      <c r="G15" s="39"/>
      <c r="H15" s="40"/>
      <c r="I15" s="36"/>
      <c r="J15" s="37"/>
      <c r="K15" s="38"/>
      <c r="L15" s="37"/>
      <c r="M15" s="39"/>
      <c r="N15" s="39"/>
      <c r="O15" s="40"/>
      <c r="P15" s="36"/>
      <c r="Q15" s="37"/>
      <c r="R15" s="38"/>
      <c r="S15" s="37"/>
      <c r="T15" s="39"/>
      <c r="U15" s="39"/>
      <c r="V15" s="40"/>
      <c r="W15" s="36"/>
      <c r="X15" s="37"/>
      <c r="Y15" s="38"/>
      <c r="Z15" s="37"/>
      <c r="AA15" s="39"/>
      <c r="AB15" s="39"/>
      <c r="AC15" s="40"/>
      <c r="AD15" s="36"/>
      <c r="AE15" s="37"/>
      <c r="AF15" s="38"/>
      <c r="AG15" s="37"/>
      <c r="AH15" s="39"/>
      <c r="AI15" s="39"/>
      <c r="AJ15" s="40"/>
      <c r="AK15" s="8"/>
      <c r="AL15" s="8"/>
    </row>
    <row r="16" spans="1:49">
      <c r="A16" s="8"/>
      <c r="B16" s="36"/>
      <c r="C16" s="37"/>
      <c r="D16" s="38"/>
      <c r="E16" s="37"/>
      <c r="F16" s="39"/>
      <c r="G16" s="39"/>
      <c r="H16" s="40"/>
      <c r="I16" s="36"/>
      <c r="J16" s="37"/>
      <c r="K16" s="38"/>
      <c r="L16" s="37"/>
      <c r="M16" s="39"/>
      <c r="N16" s="39"/>
      <c r="O16" s="40"/>
      <c r="P16" s="36"/>
      <c r="Q16" s="37"/>
      <c r="R16" s="38"/>
      <c r="S16" s="37"/>
      <c r="T16" s="39"/>
      <c r="U16" s="39"/>
      <c r="V16" s="40"/>
      <c r="W16" s="36"/>
      <c r="X16" s="37"/>
      <c r="Y16" s="38"/>
      <c r="Z16" s="37"/>
      <c r="AA16" s="39"/>
      <c r="AB16" s="39"/>
      <c r="AC16" s="40"/>
      <c r="AD16" s="36"/>
      <c r="AE16" s="37"/>
      <c r="AF16" s="38"/>
      <c r="AG16" s="37"/>
      <c r="AH16" s="39"/>
      <c r="AI16" s="39"/>
      <c r="AJ16" s="40"/>
      <c r="AK16" s="8"/>
      <c r="AL16" s="8"/>
    </row>
    <row r="17" spans="1:38">
      <c r="A17" s="8"/>
      <c r="B17" s="36"/>
      <c r="C17" s="37"/>
      <c r="D17" s="38"/>
      <c r="E17" s="37"/>
      <c r="F17" s="39"/>
      <c r="G17" s="39"/>
      <c r="H17" s="40"/>
      <c r="I17" s="36"/>
      <c r="J17" s="37"/>
      <c r="K17" s="38"/>
      <c r="L17" s="37"/>
      <c r="M17" s="39"/>
      <c r="N17" s="39"/>
      <c r="O17" s="40"/>
      <c r="P17" s="36"/>
      <c r="Q17" s="37"/>
      <c r="R17" s="38"/>
      <c r="S17" s="37"/>
      <c r="T17" s="39"/>
      <c r="U17" s="39"/>
      <c r="V17" s="40"/>
      <c r="W17" s="36"/>
      <c r="X17" s="37"/>
      <c r="Y17" s="38"/>
      <c r="Z17" s="37"/>
      <c r="AA17" s="39"/>
      <c r="AB17" s="39"/>
      <c r="AC17" s="40"/>
      <c r="AD17" s="36"/>
      <c r="AE17" s="37"/>
      <c r="AF17" s="38"/>
      <c r="AG17" s="37"/>
      <c r="AH17" s="39"/>
      <c r="AI17" s="39"/>
      <c r="AJ17" s="40"/>
      <c r="AK17" s="8"/>
      <c r="AL17" s="8"/>
    </row>
    <row r="18" spans="1:38">
      <c r="A18" s="8"/>
      <c r="B18" s="36"/>
      <c r="C18" s="37"/>
      <c r="D18" s="38"/>
      <c r="E18" s="37"/>
      <c r="F18" s="39"/>
      <c r="G18" s="39"/>
      <c r="H18" s="40"/>
      <c r="I18" s="36"/>
      <c r="J18" s="37"/>
      <c r="K18" s="38"/>
      <c r="L18" s="37"/>
      <c r="M18" s="39"/>
      <c r="N18" s="39"/>
      <c r="O18" s="40"/>
      <c r="P18" s="36"/>
      <c r="Q18" s="37"/>
      <c r="R18" s="38"/>
      <c r="S18" s="37"/>
      <c r="T18" s="39"/>
      <c r="U18" s="39"/>
      <c r="V18" s="40"/>
      <c r="W18" s="36"/>
      <c r="X18" s="37"/>
      <c r="Y18" s="38"/>
      <c r="Z18" s="37"/>
      <c r="AA18" s="39"/>
      <c r="AB18" s="39"/>
      <c r="AC18" s="40"/>
      <c r="AD18" s="36"/>
      <c r="AE18" s="37"/>
      <c r="AF18" s="38"/>
      <c r="AG18" s="37"/>
      <c r="AH18" s="39"/>
      <c r="AI18" s="39"/>
      <c r="AJ18" s="40"/>
      <c r="AK18" s="8"/>
      <c r="AL18" s="8"/>
    </row>
    <row r="19" spans="1:38" ht="17" thickBot="1">
      <c r="A19" s="8"/>
      <c r="B19" s="41"/>
      <c r="C19" s="42"/>
      <c r="D19" s="43"/>
      <c r="E19" s="42"/>
      <c r="F19" s="44"/>
      <c r="G19" s="44"/>
      <c r="H19" s="45"/>
      <c r="I19" s="41"/>
      <c r="J19" s="42"/>
      <c r="K19" s="43"/>
      <c r="L19" s="42"/>
      <c r="M19" s="44"/>
      <c r="N19" s="44"/>
      <c r="O19" s="45"/>
      <c r="P19" s="41"/>
      <c r="Q19" s="42"/>
      <c r="R19" s="43"/>
      <c r="S19" s="42"/>
      <c r="T19" s="44"/>
      <c r="U19" s="44"/>
      <c r="V19" s="45"/>
      <c r="W19" s="41"/>
      <c r="X19" s="42"/>
      <c r="Y19" s="43"/>
      <c r="Z19" s="42"/>
      <c r="AA19" s="44"/>
      <c r="AB19" s="44"/>
      <c r="AC19" s="45"/>
      <c r="AD19" s="41"/>
      <c r="AE19" s="42"/>
      <c r="AF19" s="43"/>
      <c r="AG19" s="42"/>
      <c r="AH19" s="44"/>
      <c r="AI19" s="44"/>
      <c r="AJ19" s="45"/>
      <c r="AK19" s="8"/>
      <c r="AL19" s="8"/>
    </row>
    <row r="20" spans="1:38" ht="18.75" customHeight="1">
      <c r="A20" s="8"/>
      <c r="B20" s="137" t="str">
        <f>IFERROR(VLOOKUP($H$20,HOLIDAYS!$B$2:$D$22,3,FALSE),"")</f>
        <v/>
      </c>
      <c r="C20" s="138"/>
      <c r="D20" s="138"/>
      <c r="E20" s="138"/>
      <c r="F20" s="138"/>
      <c r="G20" s="138"/>
      <c r="H20" s="30">
        <f>DATE(AN2,AN5,1)-WEEKDAY(DATE(AN2,AN5,1),2)+8</f>
        <v>45173</v>
      </c>
      <c r="I20" s="137" t="str">
        <f>IFERROR(VLOOKUP($O$20,HOLIDAYS!$B$2:$D$22,3,FALSE),"")</f>
        <v/>
      </c>
      <c r="J20" s="138"/>
      <c r="K20" s="138"/>
      <c r="L20" s="138"/>
      <c r="M20" s="138"/>
      <c r="N20" s="138"/>
      <c r="O20" s="30">
        <f>DATE(AN2,AN5,1)-WEEKDAY(DATE(AN2,AN5,1),2)+9</f>
        <v>45174</v>
      </c>
      <c r="P20" s="137" t="str">
        <f>IFERROR(VLOOKUP($V$20,HOLIDAYS!$B$2:$D$22,3,FALSE),"")</f>
        <v/>
      </c>
      <c r="Q20" s="138"/>
      <c r="R20" s="138"/>
      <c r="S20" s="138"/>
      <c r="T20" s="138"/>
      <c r="U20" s="138"/>
      <c r="V20" s="30">
        <f>DATE(AN2,AN5,1)-WEEKDAY(DATE(AN2,AN5,1),2)+10</f>
        <v>45175</v>
      </c>
      <c r="W20" s="137" t="str">
        <f>IFERROR(VLOOKUP($AC$20,HOLIDAYS!$B$2:$D$22,3,FALSE),"")</f>
        <v/>
      </c>
      <c r="X20" s="138"/>
      <c r="Y20" s="138"/>
      <c r="Z20" s="138"/>
      <c r="AA20" s="138"/>
      <c r="AB20" s="138"/>
      <c r="AC20" s="30">
        <f>DATE(AN2,AN5,1)-WEEKDAY(DATE(AN2,AN5,1),2)+11</f>
        <v>45176</v>
      </c>
      <c r="AD20" s="137" t="str">
        <f>IFERROR(VLOOKUP($AJ$20,HOLIDAYS!$B$2:$D$22,3,FALSE),"")</f>
        <v/>
      </c>
      <c r="AE20" s="138"/>
      <c r="AF20" s="138"/>
      <c r="AG20" s="138"/>
      <c r="AH20" s="138"/>
      <c r="AI20" s="138"/>
      <c r="AJ20" s="30">
        <f>DATE(AN2,AN5,1)-WEEKDAY(DATE(AN2,AN5,1),2)+12</f>
        <v>45177</v>
      </c>
      <c r="AK20" s="8"/>
      <c r="AL20" s="8"/>
    </row>
    <row r="21" spans="1:38">
      <c r="A21" s="8"/>
      <c r="B21" s="36"/>
      <c r="C21" s="37"/>
      <c r="D21" s="38"/>
      <c r="E21" s="37" t="s">
        <v>8</v>
      </c>
      <c r="F21" s="39"/>
      <c r="G21" s="39"/>
      <c r="H21" s="40"/>
      <c r="I21" s="36"/>
      <c r="J21" s="37"/>
      <c r="K21" s="38"/>
      <c r="L21" s="37" t="s">
        <v>8</v>
      </c>
      <c r="M21" s="39"/>
      <c r="N21" s="39"/>
      <c r="O21" s="40"/>
      <c r="P21" s="36"/>
      <c r="Q21" s="37"/>
      <c r="R21" s="38"/>
      <c r="S21" s="37" t="s">
        <v>8</v>
      </c>
      <c r="T21" s="39"/>
      <c r="U21" s="39"/>
      <c r="V21" s="40"/>
      <c r="W21" s="36"/>
      <c r="X21" s="37"/>
      <c r="Y21" s="38"/>
      <c r="Z21" s="37" t="s">
        <v>8</v>
      </c>
      <c r="AA21" s="39"/>
      <c r="AB21" s="39"/>
      <c r="AC21" s="40"/>
      <c r="AD21" s="36"/>
      <c r="AE21" s="37"/>
      <c r="AF21" s="38"/>
      <c r="AG21" s="37" t="s">
        <v>8</v>
      </c>
      <c r="AH21" s="39"/>
      <c r="AI21" s="39"/>
      <c r="AJ21" s="40"/>
      <c r="AK21" s="8"/>
      <c r="AL21" s="8"/>
    </row>
    <row r="22" spans="1:38">
      <c r="A22" s="8"/>
      <c r="B22" s="36"/>
      <c r="C22" s="37"/>
      <c r="D22" s="38"/>
      <c r="E22" s="37"/>
      <c r="F22" s="39"/>
      <c r="G22" s="39"/>
      <c r="H22" s="40"/>
      <c r="I22" s="36"/>
      <c r="J22" s="37"/>
      <c r="K22" s="38"/>
      <c r="L22" s="37"/>
      <c r="M22" s="39"/>
      <c r="N22" s="39"/>
      <c r="O22" s="40"/>
      <c r="P22" s="36"/>
      <c r="Q22" s="37"/>
      <c r="R22" s="38"/>
      <c r="S22" s="37"/>
      <c r="T22" s="39"/>
      <c r="U22" s="39"/>
      <c r="V22" s="40"/>
      <c r="W22" s="36"/>
      <c r="X22" s="37"/>
      <c r="Y22" s="38"/>
      <c r="Z22" s="37"/>
      <c r="AA22" s="39"/>
      <c r="AB22" s="39"/>
      <c r="AC22" s="40"/>
      <c r="AD22" s="36"/>
      <c r="AE22" s="37"/>
      <c r="AF22" s="38"/>
      <c r="AG22" s="37"/>
      <c r="AH22" s="39"/>
      <c r="AI22" s="39"/>
      <c r="AJ22" s="40"/>
      <c r="AK22" s="8"/>
      <c r="AL22" s="8"/>
    </row>
    <row r="23" spans="1:38">
      <c r="A23" s="8"/>
      <c r="B23" s="36"/>
      <c r="C23" s="37"/>
      <c r="D23" s="38"/>
      <c r="E23" s="37"/>
      <c r="F23" s="39"/>
      <c r="G23" s="39"/>
      <c r="H23" s="40"/>
      <c r="I23" s="36"/>
      <c r="J23" s="37"/>
      <c r="K23" s="38"/>
      <c r="L23" s="37"/>
      <c r="M23" s="39"/>
      <c r="N23" s="39"/>
      <c r="O23" s="40"/>
      <c r="P23" s="36"/>
      <c r="Q23" s="37"/>
      <c r="R23" s="38"/>
      <c r="S23" s="37"/>
      <c r="T23" s="39"/>
      <c r="U23" s="39"/>
      <c r="V23" s="40"/>
      <c r="W23" s="36"/>
      <c r="X23" s="37"/>
      <c r="Y23" s="38"/>
      <c r="Z23" s="37"/>
      <c r="AA23" s="39"/>
      <c r="AB23" s="39"/>
      <c r="AC23" s="40"/>
      <c r="AD23" s="36"/>
      <c r="AE23" s="37"/>
      <c r="AF23" s="38"/>
      <c r="AG23" s="37"/>
      <c r="AH23" s="39"/>
      <c r="AI23" s="39"/>
      <c r="AJ23" s="40"/>
      <c r="AK23" s="8"/>
      <c r="AL23" s="8"/>
    </row>
    <row r="24" spans="1:38">
      <c r="A24" s="8"/>
      <c r="B24" s="36"/>
      <c r="C24" s="37"/>
      <c r="D24" s="38"/>
      <c r="E24" s="37"/>
      <c r="F24" s="39"/>
      <c r="G24" s="39"/>
      <c r="H24" s="40"/>
      <c r="I24" s="36"/>
      <c r="J24" s="37"/>
      <c r="K24" s="38"/>
      <c r="L24" s="37"/>
      <c r="M24" s="39"/>
      <c r="N24" s="39"/>
      <c r="O24" s="40"/>
      <c r="P24" s="36"/>
      <c r="Q24" s="37"/>
      <c r="R24" s="38"/>
      <c r="S24" s="37"/>
      <c r="T24" s="39"/>
      <c r="U24" s="39"/>
      <c r="V24" s="40"/>
      <c r="W24" s="36"/>
      <c r="X24" s="37"/>
      <c r="Y24" s="38"/>
      <c r="Z24" s="37"/>
      <c r="AA24" s="39"/>
      <c r="AB24" s="39"/>
      <c r="AC24" s="40"/>
      <c r="AD24" s="36"/>
      <c r="AE24" s="37"/>
      <c r="AF24" s="38"/>
      <c r="AG24" s="37"/>
      <c r="AH24" s="39"/>
      <c r="AI24" s="39"/>
      <c r="AJ24" s="40"/>
      <c r="AK24" s="8"/>
      <c r="AL24" s="8"/>
    </row>
    <row r="25" spans="1:38">
      <c r="A25" s="8"/>
      <c r="B25" s="36"/>
      <c r="C25" s="37"/>
      <c r="D25" s="38"/>
      <c r="E25" s="37"/>
      <c r="F25" s="39"/>
      <c r="G25" s="39"/>
      <c r="H25" s="40"/>
      <c r="I25" s="36"/>
      <c r="J25" s="37"/>
      <c r="K25" s="38"/>
      <c r="L25" s="37"/>
      <c r="M25" s="39"/>
      <c r="N25" s="39"/>
      <c r="O25" s="40"/>
      <c r="P25" s="36"/>
      <c r="Q25" s="37"/>
      <c r="R25" s="38"/>
      <c r="S25" s="37"/>
      <c r="T25" s="39"/>
      <c r="U25" s="39"/>
      <c r="V25" s="40"/>
      <c r="W25" s="36"/>
      <c r="X25" s="37"/>
      <c r="Y25" s="38"/>
      <c r="Z25" s="37"/>
      <c r="AA25" s="39"/>
      <c r="AB25" s="39"/>
      <c r="AC25" s="40"/>
      <c r="AD25" s="36"/>
      <c r="AE25" s="37"/>
      <c r="AF25" s="38"/>
      <c r="AG25" s="37"/>
      <c r="AH25" s="39"/>
      <c r="AI25" s="39"/>
      <c r="AJ25" s="40"/>
      <c r="AK25" s="8"/>
      <c r="AL25" s="8"/>
    </row>
    <row r="26" spans="1:38">
      <c r="A26" s="8"/>
      <c r="B26" s="36"/>
      <c r="C26" s="37"/>
      <c r="D26" s="38"/>
      <c r="E26" s="37" t="s">
        <v>9</v>
      </c>
      <c r="F26" s="39"/>
      <c r="G26" s="39"/>
      <c r="H26" s="40"/>
      <c r="I26" s="36"/>
      <c r="J26" s="37"/>
      <c r="K26" s="38"/>
      <c r="L26" s="37" t="s">
        <v>9</v>
      </c>
      <c r="M26" s="39"/>
      <c r="N26" s="39"/>
      <c r="O26" s="40"/>
      <c r="P26" s="36"/>
      <c r="Q26" s="37"/>
      <c r="R26" s="38"/>
      <c r="S26" s="37" t="s">
        <v>9</v>
      </c>
      <c r="T26" s="39"/>
      <c r="U26" s="39"/>
      <c r="V26" s="40"/>
      <c r="W26" s="36"/>
      <c r="X26" s="37"/>
      <c r="Y26" s="38"/>
      <c r="Z26" s="37" t="s">
        <v>9</v>
      </c>
      <c r="AA26" s="39"/>
      <c r="AB26" s="39"/>
      <c r="AC26" s="40"/>
      <c r="AD26" s="36"/>
      <c r="AE26" s="37"/>
      <c r="AF26" s="38"/>
      <c r="AG26" s="37" t="s">
        <v>9</v>
      </c>
      <c r="AH26" s="39"/>
      <c r="AI26" s="39"/>
      <c r="AJ26" s="40"/>
      <c r="AK26" s="8"/>
      <c r="AL26" s="8"/>
    </row>
    <row r="27" spans="1:38">
      <c r="A27" s="8"/>
      <c r="B27" s="36"/>
      <c r="C27" s="37"/>
      <c r="D27" s="38"/>
      <c r="E27" s="37"/>
      <c r="F27" s="39"/>
      <c r="G27" s="39"/>
      <c r="H27" s="40"/>
      <c r="I27" s="36"/>
      <c r="J27" s="37"/>
      <c r="K27" s="38"/>
      <c r="L27" s="37"/>
      <c r="M27" s="39"/>
      <c r="N27" s="39"/>
      <c r="O27" s="40"/>
      <c r="P27" s="36"/>
      <c r="Q27" s="37"/>
      <c r="R27" s="38"/>
      <c r="S27" s="37"/>
      <c r="T27" s="39"/>
      <c r="U27" s="39"/>
      <c r="V27" s="40"/>
      <c r="W27" s="36"/>
      <c r="X27" s="37"/>
      <c r="Y27" s="38"/>
      <c r="Z27" s="37"/>
      <c r="AA27" s="39"/>
      <c r="AB27" s="39"/>
      <c r="AC27" s="40"/>
      <c r="AD27" s="36"/>
      <c r="AE27" s="37"/>
      <c r="AF27" s="38"/>
      <c r="AG27" s="37"/>
      <c r="AH27" s="39"/>
      <c r="AI27" s="39"/>
      <c r="AJ27" s="40"/>
      <c r="AK27" s="8"/>
      <c r="AL27" s="8"/>
    </row>
    <row r="28" spans="1:38">
      <c r="A28" s="8"/>
      <c r="B28" s="36"/>
      <c r="C28" s="37"/>
      <c r="D28" s="38"/>
      <c r="E28" s="37"/>
      <c r="F28" s="39"/>
      <c r="G28" s="39"/>
      <c r="H28" s="40"/>
      <c r="I28" s="36"/>
      <c r="J28" s="37"/>
      <c r="K28" s="38"/>
      <c r="L28" s="37"/>
      <c r="M28" s="39"/>
      <c r="N28" s="39"/>
      <c r="O28" s="40"/>
      <c r="P28" s="36"/>
      <c r="Q28" s="37"/>
      <c r="R28" s="38"/>
      <c r="S28" s="37"/>
      <c r="T28" s="39"/>
      <c r="U28" s="39"/>
      <c r="V28" s="40"/>
      <c r="W28" s="36"/>
      <c r="X28" s="37"/>
      <c r="Y28" s="38"/>
      <c r="Z28" s="37"/>
      <c r="AA28" s="39"/>
      <c r="AB28" s="39"/>
      <c r="AC28" s="40"/>
      <c r="AD28" s="36"/>
      <c r="AE28" s="37"/>
      <c r="AF28" s="38"/>
      <c r="AG28" s="37"/>
      <c r="AH28" s="39"/>
      <c r="AI28" s="39"/>
      <c r="AJ28" s="40"/>
      <c r="AK28" s="8"/>
      <c r="AL28" s="8"/>
    </row>
    <row r="29" spans="1:38">
      <c r="A29" s="8"/>
      <c r="B29" s="36"/>
      <c r="C29" s="37"/>
      <c r="D29" s="38"/>
      <c r="E29" s="37"/>
      <c r="F29" s="39"/>
      <c r="G29" s="39"/>
      <c r="H29" s="40"/>
      <c r="I29" s="36"/>
      <c r="J29" s="37"/>
      <c r="K29" s="38"/>
      <c r="L29" s="37"/>
      <c r="M29" s="39"/>
      <c r="N29" s="39"/>
      <c r="O29" s="40"/>
      <c r="P29" s="36"/>
      <c r="Q29" s="37"/>
      <c r="R29" s="38"/>
      <c r="S29" s="37"/>
      <c r="T29" s="39"/>
      <c r="U29" s="39"/>
      <c r="V29" s="40"/>
      <c r="W29" s="36"/>
      <c r="X29" s="37"/>
      <c r="Y29" s="38"/>
      <c r="Z29" s="37"/>
      <c r="AA29" s="39"/>
      <c r="AB29" s="39"/>
      <c r="AC29" s="40"/>
      <c r="AD29" s="36"/>
      <c r="AE29" s="37"/>
      <c r="AF29" s="38"/>
      <c r="AG29" s="37"/>
      <c r="AH29" s="39"/>
      <c r="AI29" s="39"/>
      <c r="AJ29" s="40"/>
      <c r="AK29" s="8"/>
      <c r="AL29" s="8"/>
    </row>
    <row r="30" spans="1:38">
      <c r="A30" s="8"/>
      <c r="B30" s="36"/>
      <c r="C30" s="37"/>
      <c r="D30" s="38"/>
      <c r="E30" s="37"/>
      <c r="F30" s="39"/>
      <c r="G30" s="39"/>
      <c r="H30" s="40"/>
      <c r="I30" s="36"/>
      <c r="J30" s="37"/>
      <c r="K30" s="38"/>
      <c r="L30" s="37"/>
      <c r="M30" s="39"/>
      <c r="N30" s="39"/>
      <c r="O30" s="40"/>
      <c r="P30" s="36"/>
      <c r="Q30" s="37"/>
      <c r="R30" s="38"/>
      <c r="S30" s="37"/>
      <c r="T30" s="39"/>
      <c r="U30" s="39"/>
      <c r="V30" s="40"/>
      <c r="W30" s="36"/>
      <c r="X30" s="37"/>
      <c r="Y30" s="38"/>
      <c r="Z30" s="37"/>
      <c r="AA30" s="39"/>
      <c r="AB30" s="39"/>
      <c r="AC30" s="40"/>
      <c r="AD30" s="36"/>
      <c r="AE30" s="37"/>
      <c r="AF30" s="38"/>
      <c r="AG30" s="37"/>
      <c r="AH30" s="39"/>
      <c r="AI30" s="39"/>
      <c r="AJ30" s="40"/>
      <c r="AK30" s="8"/>
      <c r="AL30" s="8"/>
    </row>
    <row r="31" spans="1:38" ht="17" thickBot="1">
      <c r="A31" s="8"/>
      <c r="B31" s="41"/>
      <c r="C31" s="42"/>
      <c r="D31" s="43"/>
      <c r="E31" s="42"/>
      <c r="F31" s="44"/>
      <c r="G31" s="44"/>
      <c r="H31" s="45"/>
      <c r="I31" s="41"/>
      <c r="J31" s="42"/>
      <c r="K31" s="43"/>
      <c r="L31" s="42"/>
      <c r="M31" s="44"/>
      <c r="N31" s="44"/>
      <c r="O31" s="45"/>
      <c r="P31" s="41"/>
      <c r="Q31" s="42"/>
      <c r="R31" s="43"/>
      <c r="S31" s="42"/>
      <c r="T31" s="44"/>
      <c r="U31" s="44"/>
      <c r="V31" s="45"/>
      <c r="W31" s="41"/>
      <c r="X31" s="42"/>
      <c r="Y31" s="43"/>
      <c r="Z31" s="42"/>
      <c r="AA31" s="44"/>
      <c r="AB31" s="44"/>
      <c r="AC31" s="45"/>
      <c r="AD31" s="41"/>
      <c r="AE31" s="42"/>
      <c r="AF31" s="43"/>
      <c r="AG31" s="42"/>
      <c r="AH31" s="44"/>
      <c r="AI31" s="44"/>
      <c r="AJ31" s="45"/>
      <c r="AK31" s="8"/>
      <c r="AL31" s="8"/>
    </row>
    <row r="32" spans="1:38">
      <c r="A32" s="8"/>
      <c r="B32" s="137" t="str">
        <f>IFERROR(VLOOKUP($H$32,HOLIDAYS!$B$2:$D$22,3,FALSE),"")</f>
        <v/>
      </c>
      <c r="C32" s="138"/>
      <c r="D32" s="138"/>
      <c r="E32" s="138"/>
      <c r="F32" s="138"/>
      <c r="G32" s="138"/>
      <c r="H32" s="30">
        <f>DATE(AN2,AN5,1)-WEEKDAY(DATE(AN2,AN5,1),2)+15</f>
        <v>45180</v>
      </c>
      <c r="I32" s="137" t="str">
        <f>IFERROR(VLOOKUP($O$32,HOLIDAYS!$B$2:$D$22,3,FALSE),"")</f>
        <v/>
      </c>
      <c r="J32" s="138"/>
      <c r="K32" s="138"/>
      <c r="L32" s="138"/>
      <c r="M32" s="138"/>
      <c r="N32" s="138"/>
      <c r="O32" s="30">
        <f>DATE(AN2,AN5,1)-WEEKDAY(DATE(AN2,AN5,1),2)+16</f>
        <v>45181</v>
      </c>
      <c r="P32" s="137" t="str">
        <f>IFERROR(VLOOKUP($V$32,HOLIDAYS!$B$2:$D$22,3,FALSE),"")</f>
        <v/>
      </c>
      <c r="Q32" s="138"/>
      <c r="R32" s="138"/>
      <c r="S32" s="138"/>
      <c r="T32" s="138"/>
      <c r="U32" s="138"/>
      <c r="V32" s="30">
        <f>DATE(AN2,AN5,1)-WEEKDAY(DATE(AN2,AN5,1),2)+17</f>
        <v>45182</v>
      </c>
      <c r="W32" s="137" t="str">
        <f>IFERROR(VLOOKUP($AC$32,HOLIDAYS!$B$2:$D$22,3,FALSE),"")</f>
        <v/>
      </c>
      <c r="X32" s="138"/>
      <c r="Y32" s="138"/>
      <c r="Z32" s="138"/>
      <c r="AA32" s="138"/>
      <c r="AB32" s="138"/>
      <c r="AC32" s="30">
        <f>DATE(AN2,AN5,1)-WEEKDAY(DATE(AN2,AN5,1),2)+18</f>
        <v>45183</v>
      </c>
      <c r="AD32" s="137" t="str">
        <f>IFERROR(VLOOKUP($AJ$32,HOLIDAYS!$B$2:$D$22,3,FALSE),"")</f>
        <v/>
      </c>
      <c r="AE32" s="138"/>
      <c r="AF32" s="138"/>
      <c r="AG32" s="138"/>
      <c r="AH32" s="138"/>
      <c r="AI32" s="138"/>
      <c r="AJ32" s="30">
        <f>DATE(AN2,AN5,1)-WEEKDAY(DATE(AN2,AN5,1),2)+19</f>
        <v>45184</v>
      </c>
      <c r="AK32" s="8"/>
      <c r="AL32" s="8"/>
    </row>
    <row r="33" spans="1:38">
      <c r="A33" s="8"/>
      <c r="B33" s="36"/>
      <c r="C33" s="37"/>
      <c r="D33" s="38"/>
      <c r="E33" s="37" t="s">
        <v>8</v>
      </c>
      <c r="F33" s="39"/>
      <c r="G33" s="39"/>
      <c r="H33" s="40"/>
      <c r="I33" s="36"/>
      <c r="J33" s="37"/>
      <c r="K33" s="38"/>
      <c r="L33" s="37" t="s">
        <v>8</v>
      </c>
      <c r="M33" s="39"/>
      <c r="N33" s="39"/>
      <c r="O33" s="40"/>
      <c r="P33" s="36"/>
      <c r="Q33" s="37"/>
      <c r="R33" s="38"/>
      <c r="S33" s="37" t="s">
        <v>8</v>
      </c>
      <c r="T33" s="39"/>
      <c r="U33" s="39"/>
      <c r="V33" s="40"/>
      <c r="W33" s="36"/>
      <c r="X33" s="37"/>
      <c r="Y33" s="38"/>
      <c r="Z33" s="37" t="s">
        <v>8</v>
      </c>
      <c r="AA33" s="39"/>
      <c r="AB33" s="39"/>
      <c r="AC33" s="40"/>
      <c r="AD33" s="36"/>
      <c r="AE33" s="37"/>
      <c r="AF33" s="38"/>
      <c r="AG33" s="37" t="s">
        <v>8</v>
      </c>
      <c r="AH33" s="39"/>
      <c r="AI33" s="39"/>
      <c r="AJ33" s="40"/>
      <c r="AK33" s="8"/>
      <c r="AL33" s="8"/>
    </row>
    <row r="34" spans="1:38">
      <c r="A34" s="8"/>
      <c r="B34" s="36"/>
      <c r="C34" s="37"/>
      <c r="D34" s="38"/>
      <c r="E34" s="37"/>
      <c r="F34" s="39"/>
      <c r="G34" s="39"/>
      <c r="H34" s="40"/>
      <c r="I34" s="36"/>
      <c r="J34" s="37"/>
      <c r="K34" s="38"/>
      <c r="L34" s="37"/>
      <c r="M34" s="39"/>
      <c r="N34" s="39"/>
      <c r="O34" s="40"/>
      <c r="P34" s="36"/>
      <c r="Q34" s="37"/>
      <c r="R34" s="38"/>
      <c r="S34" s="37"/>
      <c r="T34" s="39"/>
      <c r="U34" s="39"/>
      <c r="V34" s="40"/>
      <c r="W34" s="36"/>
      <c r="X34" s="37"/>
      <c r="Y34" s="38"/>
      <c r="Z34" s="37"/>
      <c r="AA34" s="39"/>
      <c r="AB34" s="39"/>
      <c r="AC34" s="40"/>
      <c r="AD34" s="36"/>
      <c r="AE34" s="37"/>
      <c r="AF34" s="38"/>
      <c r="AG34" s="37"/>
      <c r="AH34" s="39"/>
      <c r="AI34" s="39"/>
      <c r="AJ34" s="40"/>
      <c r="AK34" s="8"/>
      <c r="AL34" s="8"/>
    </row>
    <row r="35" spans="1:38">
      <c r="A35" s="8"/>
      <c r="B35" s="36"/>
      <c r="C35" s="37"/>
      <c r="D35" s="38"/>
      <c r="E35" s="37"/>
      <c r="F35" s="39"/>
      <c r="G35" s="39"/>
      <c r="H35" s="40"/>
      <c r="I35" s="36"/>
      <c r="J35" s="37"/>
      <c r="K35" s="38"/>
      <c r="L35" s="37"/>
      <c r="M35" s="39"/>
      <c r="N35" s="39"/>
      <c r="O35" s="40"/>
      <c r="P35" s="36"/>
      <c r="Q35" s="37"/>
      <c r="R35" s="38"/>
      <c r="S35" s="37"/>
      <c r="T35" s="39"/>
      <c r="U35" s="39"/>
      <c r="V35" s="40"/>
      <c r="W35" s="36"/>
      <c r="X35" s="37"/>
      <c r="Y35" s="38"/>
      <c r="Z35" s="37"/>
      <c r="AA35" s="39"/>
      <c r="AB35" s="39"/>
      <c r="AC35" s="40"/>
      <c r="AD35" s="36"/>
      <c r="AE35" s="37"/>
      <c r="AF35" s="38"/>
      <c r="AG35" s="37"/>
      <c r="AH35" s="39"/>
      <c r="AI35" s="39"/>
      <c r="AJ35" s="40"/>
      <c r="AK35" s="8"/>
      <c r="AL35" s="8"/>
    </row>
    <row r="36" spans="1:38">
      <c r="A36" s="8"/>
      <c r="B36" s="36"/>
      <c r="C36" s="37"/>
      <c r="D36" s="38"/>
      <c r="E36" s="37"/>
      <c r="F36" s="39"/>
      <c r="G36" s="39"/>
      <c r="H36" s="40"/>
      <c r="I36" s="36"/>
      <c r="J36" s="37"/>
      <c r="K36" s="38"/>
      <c r="L36" s="37"/>
      <c r="M36" s="39"/>
      <c r="N36" s="39"/>
      <c r="O36" s="40"/>
      <c r="P36" s="36"/>
      <c r="Q36" s="37"/>
      <c r="R36" s="38"/>
      <c r="S36" s="37"/>
      <c r="T36" s="39"/>
      <c r="U36" s="39"/>
      <c r="V36" s="40"/>
      <c r="W36" s="36"/>
      <c r="X36" s="37"/>
      <c r="Y36" s="38"/>
      <c r="Z36" s="37"/>
      <c r="AA36" s="39"/>
      <c r="AB36" s="39"/>
      <c r="AC36" s="40"/>
      <c r="AD36" s="36"/>
      <c r="AE36" s="37"/>
      <c r="AF36" s="38"/>
      <c r="AG36" s="37"/>
      <c r="AH36" s="39"/>
      <c r="AI36" s="39"/>
      <c r="AJ36" s="40"/>
      <c r="AK36" s="8"/>
      <c r="AL36" s="8"/>
    </row>
    <row r="37" spans="1:38">
      <c r="A37" s="8"/>
      <c r="B37" s="36"/>
      <c r="C37" s="37"/>
      <c r="D37" s="38"/>
      <c r="E37" s="37"/>
      <c r="F37" s="39"/>
      <c r="G37" s="39"/>
      <c r="H37" s="40"/>
      <c r="I37" s="36"/>
      <c r="J37" s="37"/>
      <c r="K37" s="38"/>
      <c r="L37" s="37"/>
      <c r="M37" s="39"/>
      <c r="N37" s="39"/>
      <c r="O37" s="40"/>
      <c r="P37" s="36"/>
      <c r="Q37" s="37"/>
      <c r="R37" s="38"/>
      <c r="S37" s="37"/>
      <c r="T37" s="39"/>
      <c r="U37" s="39"/>
      <c r="V37" s="40"/>
      <c r="W37" s="36"/>
      <c r="X37" s="37"/>
      <c r="Y37" s="38"/>
      <c r="Z37" s="37"/>
      <c r="AA37" s="39"/>
      <c r="AB37" s="39"/>
      <c r="AC37" s="40"/>
      <c r="AD37" s="36"/>
      <c r="AE37" s="37"/>
      <c r="AF37" s="38"/>
      <c r="AG37" s="37"/>
      <c r="AH37" s="39"/>
      <c r="AI37" s="39"/>
      <c r="AJ37" s="40"/>
      <c r="AK37" s="8"/>
      <c r="AL37" s="8"/>
    </row>
    <row r="38" spans="1:38">
      <c r="A38" s="8"/>
      <c r="B38" s="36"/>
      <c r="C38" s="37"/>
      <c r="D38" s="38"/>
      <c r="E38" s="37" t="s">
        <v>9</v>
      </c>
      <c r="F38" s="39"/>
      <c r="G38" s="39"/>
      <c r="H38" s="40"/>
      <c r="I38" s="36"/>
      <c r="J38" s="37"/>
      <c r="K38" s="38"/>
      <c r="L38" s="37" t="s">
        <v>9</v>
      </c>
      <c r="M38" s="39"/>
      <c r="N38" s="39"/>
      <c r="O38" s="40"/>
      <c r="P38" s="36"/>
      <c r="Q38" s="37"/>
      <c r="R38" s="38"/>
      <c r="S38" s="37" t="s">
        <v>9</v>
      </c>
      <c r="T38" s="39"/>
      <c r="U38" s="39"/>
      <c r="V38" s="40"/>
      <c r="W38" s="36"/>
      <c r="X38" s="37"/>
      <c r="Y38" s="38"/>
      <c r="Z38" s="37" t="s">
        <v>9</v>
      </c>
      <c r="AA38" s="39"/>
      <c r="AB38" s="39"/>
      <c r="AC38" s="40"/>
      <c r="AD38" s="36"/>
      <c r="AE38" s="37"/>
      <c r="AF38" s="38"/>
      <c r="AG38" s="37" t="s">
        <v>9</v>
      </c>
      <c r="AH38" s="39"/>
      <c r="AI38" s="39"/>
      <c r="AJ38" s="40"/>
      <c r="AK38" s="8"/>
      <c r="AL38" s="8"/>
    </row>
    <row r="39" spans="1:38">
      <c r="A39" s="8"/>
      <c r="B39" s="36"/>
      <c r="C39" s="37"/>
      <c r="D39" s="38"/>
      <c r="E39" s="37"/>
      <c r="F39" s="39"/>
      <c r="G39" s="39"/>
      <c r="H39" s="40"/>
      <c r="I39" s="36"/>
      <c r="J39" s="37"/>
      <c r="K39" s="38"/>
      <c r="L39" s="37"/>
      <c r="M39" s="39"/>
      <c r="N39" s="39"/>
      <c r="O39" s="40"/>
      <c r="P39" s="36"/>
      <c r="Q39" s="37"/>
      <c r="R39" s="38"/>
      <c r="S39" s="37"/>
      <c r="T39" s="39"/>
      <c r="U39" s="39"/>
      <c r="V39" s="40"/>
      <c r="W39" s="36"/>
      <c r="X39" s="37"/>
      <c r="Y39" s="38"/>
      <c r="Z39" s="37"/>
      <c r="AA39" s="39"/>
      <c r="AB39" s="39"/>
      <c r="AC39" s="40"/>
      <c r="AD39" s="36"/>
      <c r="AE39" s="37"/>
      <c r="AF39" s="38"/>
      <c r="AG39" s="37"/>
      <c r="AH39" s="39"/>
      <c r="AI39" s="39"/>
      <c r="AJ39" s="40"/>
      <c r="AK39" s="8"/>
      <c r="AL39" s="8"/>
    </row>
    <row r="40" spans="1:38">
      <c r="A40" s="8"/>
      <c r="B40" s="36"/>
      <c r="C40" s="37"/>
      <c r="D40" s="38"/>
      <c r="E40" s="37"/>
      <c r="F40" s="39"/>
      <c r="G40" s="39"/>
      <c r="H40" s="40"/>
      <c r="I40" s="36"/>
      <c r="J40" s="37"/>
      <c r="K40" s="38"/>
      <c r="L40" s="37"/>
      <c r="M40" s="39"/>
      <c r="N40" s="39"/>
      <c r="O40" s="40"/>
      <c r="P40" s="36"/>
      <c r="Q40" s="37"/>
      <c r="R40" s="38"/>
      <c r="S40" s="37"/>
      <c r="T40" s="39"/>
      <c r="U40" s="39"/>
      <c r="V40" s="40"/>
      <c r="W40" s="36"/>
      <c r="X40" s="37"/>
      <c r="Y40" s="38"/>
      <c r="Z40" s="37"/>
      <c r="AA40" s="39"/>
      <c r="AB40" s="39"/>
      <c r="AC40" s="40"/>
      <c r="AD40" s="36"/>
      <c r="AE40" s="37"/>
      <c r="AF40" s="38"/>
      <c r="AG40" s="37"/>
      <c r="AH40" s="39"/>
      <c r="AI40" s="39"/>
      <c r="AJ40" s="40"/>
      <c r="AK40" s="8"/>
      <c r="AL40" s="8"/>
    </row>
    <row r="41" spans="1:38">
      <c r="A41" s="8"/>
      <c r="B41" s="36"/>
      <c r="C41" s="37"/>
      <c r="D41" s="38"/>
      <c r="E41" s="37"/>
      <c r="F41" s="39"/>
      <c r="G41" s="39"/>
      <c r="H41" s="40"/>
      <c r="I41" s="36"/>
      <c r="J41" s="37"/>
      <c r="K41" s="38"/>
      <c r="L41" s="37"/>
      <c r="M41" s="39"/>
      <c r="N41" s="39"/>
      <c r="O41" s="40"/>
      <c r="P41" s="36"/>
      <c r="Q41" s="37"/>
      <c r="R41" s="38"/>
      <c r="S41" s="37"/>
      <c r="T41" s="39"/>
      <c r="U41" s="39"/>
      <c r="V41" s="40"/>
      <c r="W41" s="36"/>
      <c r="X41" s="37"/>
      <c r="Y41" s="38"/>
      <c r="Z41" s="37"/>
      <c r="AA41" s="39"/>
      <c r="AB41" s="39"/>
      <c r="AC41" s="40"/>
      <c r="AD41" s="36"/>
      <c r="AE41" s="37"/>
      <c r="AF41" s="38"/>
      <c r="AG41" s="37"/>
      <c r="AH41" s="39"/>
      <c r="AI41" s="39"/>
      <c r="AJ41" s="40"/>
      <c r="AK41" s="8"/>
      <c r="AL41" s="8"/>
    </row>
    <row r="42" spans="1:38">
      <c r="A42" s="8"/>
      <c r="B42" s="36"/>
      <c r="C42" s="37"/>
      <c r="D42" s="38"/>
      <c r="E42" s="37"/>
      <c r="F42" s="39"/>
      <c r="G42" s="39"/>
      <c r="H42" s="40"/>
      <c r="I42" s="36"/>
      <c r="J42" s="37"/>
      <c r="K42" s="38"/>
      <c r="L42" s="37"/>
      <c r="M42" s="39"/>
      <c r="N42" s="39"/>
      <c r="O42" s="40"/>
      <c r="P42" s="36"/>
      <c r="Q42" s="37"/>
      <c r="R42" s="38"/>
      <c r="S42" s="37"/>
      <c r="T42" s="39"/>
      <c r="U42" s="39"/>
      <c r="V42" s="40"/>
      <c r="W42" s="36"/>
      <c r="X42" s="37"/>
      <c r="Y42" s="38"/>
      <c r="Z42" s="37"/>
      <c r="AA42" s="39"/>
      <c r="AB42" s="39"/>
      <c r="AC42" s="40"/>
      <c r="AD42" s="36"/>
      <c r="AE42" s="37"/>
      <c r="AF42" s="38"/>
      <c r="AG42" s="37"/>
      <c r="AH42" s="39"/>
      <c r="AI42" s="39"/>
      <c r="AJ42" s="40"/>
      <c r="AK42" s="8"/>
      <c r="AL42" s="8"/>
    </row>
    <row r="43" spans="1:38" ht="17" thickBot="1">
      <c r="A43" s="8"/>
      <c r="B43" s="41"/>
      <c r="C43" s="42"/>
      <c r="D43" s="43"/>
      <c r="E43" s="42"/>
      <c r="F43" s="44"/>
      <c r="G43" s="44"/>
      <c r="H43" s="45"/>
      <c r="I43" s="41"/>
      <c r="J43" s="42"/>
      <c r="K43" s="43"/>
      <c r="L43" s="42"/>
      <c r="M43" s="44"/>
      <c r="N43" s="44"/>
      <c r="O43" s="45"/>
      <c r="P43" s="41"/>
      <c r="Q43" s="42"/>
      <c r="R43" s="43"/>
      <c r="S43" s="42"/>
      <c r="T43" s="44"/>
      <c r="U43" s="44"/>
      <c r="V43" s="45"/>
      <c r="W43" s="41"/>
      <c r="X43" s="42"/>
      <c r="Y43" s="43"/>
      <c r="Z43" s="42"/>
      <c r="AA43" s="44"/>
      <c r="AB43" s="44"/>
      <c r="AC43" s="45"/>
      <c r="AD43" s="41"/>
      <c r="AE43" s="42"/>
      <c r="AF43" s="43"/>
      <c r="AG43" s="42"/>
      <c r="AH43" s="44"/>
      <c r="AI43" s="44"/>
      <c r="AJ43" s="45"/>
      <c r="AK43" s="8"/>
      <c r="AL43" s="8"/>
    </row>
    <row r="44" spans="1:38">
      <c r="A44" s="8"/>
      <c r="B44" s="137" t="str">
        <f>IFERROR(VLOOKUP($H$44,HOLIDAYS!$B$2:$D$22,3,FALSE),"")</f>
        <v/>
      </c>
      <c r="C44" s="138"/>
      <c r="D44" s="138"/>
      <c r="E44" s="138"/>
      <c r="F44" s="138"/>
      <c r="G44" s="138"/>
      <c r="H44" s="30">
        <f>DATE(AN2,AN5,1)-WEEKDAY(DATE(AN2,AN5,1),2)+22</f>
        <v>45187</v>
      </c>
      <c r="I44" s="137" t="str">
        <f>IFERROR(VLOOKUP($O$44,HOLIDAYS!$B$2:$D$22,3,FALSE),"")</f>
        <v/>
      </c>
      <c r="J44" s="138"/>
      <c r="K44" s="138"/>
      <c r="L44" s="138"/>
      <c r="M44" s="138"/>
      <c r="N44" s="138"/>
      <c r="O44" s="30">
        <f>DATE(AN2,AN5,1)-WEEKDAY(DATE(AN2,AN5,1),2)+23</f>
        <v>45188</v>
      </c>
      <c r="P44" s="137" t="str">
        <f>IFERROR(VLOOKUP($V$44,HOLIDAYS!$B$2:$D$22,3,FALSE),"")</f>
        <v/>
      </c>
      <c r="Q44" s="138"/>
      <c r="R44" s="138"/>
      <c r="S44" s="138"/>
      <c r="T44" s="138"/>
      <c r="U44" s="138"/>
      <c r="V44" s="30">
        <f>DATE(AN2,AN5,1)-WEEKDAY(DATE(AN2,AN5,1),2)+24</f>
        <v>45189</v>
      </c>
      <c r="W44" s="137" t="str">
        <f>IFERROR(VLOOKUP($AC$44,HOLIDAYS!$B$2:$D$22,3,FALSE),"")</f>
        <v/>
      </c>
      <c r="X44" s="138"/>
      <c r="Y44" s="138"/>
      <c r="Z44" s="138"/>
      <c r="AA44" s="138"/>
      <c r="AB44" s="138"/>
      <c r="AC44" s="30">
        <f>DATE(AN2,AN5,1)-WEEKDAY(DATE(AN2,AN5,1),2)+25</f>
        <v>45190</v>
      </c>
      <c r="AD44" s="137" t="str">
        <f>IFERROR(VLOOKUP($AJ$44,HOLIDAYS!$B$2:$D$22,3,FALSE),"")</f>
        <v/>
      </c>
      <c r="AE44" s="138"/>
      <c r="AF44" s="138"/>
      <c r="AG44" s="138"/>
      <c r="AH44" s="138"/>
      <c r="AI44" s="138"/>
      <c r="AJ44" s="30">
        <f>DATE(AN2,AN5,1)-WEEKDAY(DATE(AN2,AN5,1),2)+26</f>
        <v>45191</v>
      </c>
      <c r="AK44" s="8"/>
      <c r="AL44" s="8"/>
    </row>
    <row r="45" spans="1:38">
      <c r="A45" s="8"/>
      <c r="B45" s="36"/>
      <c r="C45" s="37"/>
      <c r="D45" s="38"/>
      <c r="E45" s="37" t="s">
        <v>8</v>
      </c>
      <c r="F45" s="39"/>
      <c r="G45" s="39"/>
      <c r="H45" s="40"/>
      <c r="I45" s="36"/>
      <c r="J45" s="37"/>
      <c r="K45" s="38"/>
      <c r="L45" s="37" t="s">
        <v>8</v>
      </c>
      <c r="M45" s="39"/>
      <c r="N45" s="39"/>
      <c r="O45" s="40"/>
      <c r="P45" s="36"/>
      <c r="Q45" s="37"/>
      <c r="R45" s="38"/>
      <c r="S45" s="37" t="s">
        <v>8</v>
      </c>
      <c r="T45" s="39"/>
      <c r="U45" s="39"/>
      <c r="V45" s="40"/>
      <c r="W45" s="36"/>
      <c r="X45" s="37"/>
      <c r="Y45" s="38"/>
      <c r="Z45" s="37" t="s">
        <v>8</v>
      </c>
      <c r="AA45" s="39"/>
      <c r="AB45" s="39"/>
      <c r="AC45" s="40"/>
      <c r="AD45" s="36"/>
      <c r="AE45" s="37"/>
      <c r="AF45" s="38"/>
      <c r="AG45" s="37" t="s">
        <v>8</v>
      </c>
      <c r="AH45" s="39"/>
      <c r="AI45" s="39"/>
      <c r="AJ45" s="40"/>
      <c r="AK45" s="8"/>
      <c r="AL45" s="8"/>
    </row>
    <row r="46" spans="1:38">
      <c r="A46" s="8"/>
      <c r="B46" s="36"/>
      <c r="C46" s="37"/>
      <c r="D46" s="38"/>
      <c r="E46" s="37"/>
      <c r="F46" s="39"/>
      <c r="G46" s="39"/>
      <c r="H46" s="40"/>
      <c r="I46" s="36"/>
      <c r="J46" s="37"/>
      <c r="K46" s="38"/>
      <c r="L46" s="37"/>
      <c r="M46" s="39"/>
      <c r="N46" s="39"/>
      <c r="O46" s="40"/>
      <c r="P46" s="36"/>
      <c r="Q46" s="37"/>
      <c r="R46" s="38"/>
      <c r="S46" s="37"/>
      <c r="T46" s="39"/>
      <c r="U46" s="39"/>
      <c r="V46" s="40"/>
      <c r="W46" s="36"/>
      <c r="X46" s="37"/>
      <c r="Y46" s="38"/>
      <c r="Z46" s="37"/>
      <c r="AA46" s="39"/>
      <c r="AB46" s="39"/>
      <c r="AC46" s="40"/>
      <c r="AE46" s="37"/>
      <c r="AF46" s="38"/>
      <c r="AG46" s="37"/>
      <c r="AH46" s="39"/>
      <c r="AI46" s="39"/>
      <c r="AJ46" s="40"/>
      <c r="AK46" s="8"/>
      <c r="AL46" s="8"/>
    </row>
    <row r="47" spans="1:38">
      <c r="A47" s="8"/>
      <c r="B47" s="36"/>
      <c r="C47" s="37"/>
      <c r="D47" s="38"/>
      <c r="E47" s="37"/>
      <c r="F47" s="39"/>
      <c r="G47" s="39"/>
      <c r="H47" s="40"/>
      <c r="I47" s="36"/>
      <c r="J47" s="37"/>
      <c r="K47" s="38"/>
      <c r="L47" s="37"/>
      <c r="M47" s="39"/>
      <c r="N47" s="39"/>
      <c r="O47" s="40"/>
      <c r="P47" s="36"/>
      <c r="Q47" s="37"/>
      <c r="R47" s="38"/>
      <c r="S47" s="37"/>
      <c r="T47" s="39"/>
      <c r="U47" s="39"/>
      <c r="V47" s="40"/>
      <c r="W47" s="36"/>
      <c r="X47" s="37"/>
      <c r="Y47" s="38"/>
      <c r="Z47" s="37"/>
      <c r="AA47" s="39"/>
      <c r="AB47" s="39"/>
      <c r="AC47" s="40"/>
      <c r="AD47" s="36"/>
      <c r="AE47" s="37"/>
      <c r="AF47" s="38"/>
      <c r="AG47" s="37"/>
      <c r="AH47" s="39"/>
      <c r="AI47" s="39"/>
      <c r="AJ47" s="40"/>
      <c r="AK47" s="8"/>
      <c r="AL47" s="8"/>
    </row>
    <row r="48" spans="1:38">
      <c r="A48" s="8"/>
      <c r="B48" s="36"/>
      <c r="C48" s="37"/>
      <c r="D48" s="38"/>
      <c r="E48" s="37"/>
      <c r="F48" s="39"/>
      <c r="G48" s="39"/>
      <c r="H48" s="40"/>
      <c r="I48" s="36"/>
      <c r="J48" s="37"/>
      <c r="K48" s="38"/>
      <c r="L48" s="37"/>
      <c r="M48" s="39"/>
      <c r="N48" s="39"/>
      <c r="O48" s="40"/>
      <c r="P48" s="36"/>
      <c r="Q48" s="37"/>
      <c r="R48" s="38"/>
      <c r="S48" s="37"/>
      <c r="T48" s="39"/>
      <c r="U48" s="39"/>
      <c r="V48" s="40"/>
      <c r="W48" s="36"/>
      <c r="X48" s="37"/>
      <c r="Y48" s="38"/>
      <c r="Z48" s="37"/>
      <c r="AA48" s="39"/>
      <c r="AB48" s="39"/>
      <c r="AC48" s="40"/>
      <c r="AD48" s="36"/>
      <c r="AE48" s="37"/>
      <c r="AF48" s="38"/>
      <c r="AG48" s="37"/>
      <c r="AH48" s="39"/>
      <c r="AI48" s="39"/>
      <c r="AJ48" s="40"/>
      <c r="AK48" s="8"/>
      <c r="AL48" s="8"/>
    </row>
    <row r="49" spans="1:38">
      <c r="A49" s="8"/>
      <c r="B49" s="36"/>
      <c r="C49" s="37"/>
      <c r="D49" s="38"/>
      <c r="E49" s="37"/>
      <c r="F49" s="39"/>
      <c r="G49" s="39"/>
      <c r="H49" s="40"/>
      <c r="I49" s="36"/>
      <c r="J49" s="37"/>
      <c r="K49" s="38"/>
      <c r="L49" s="37"/>
      <c r="M49" s="39"/>
      <c r="N49" s="39"/>
      <c r="O49" s="40"/>
      <c r="P49" s="36"/>
      <c r="Q49" s="37"/>
      <c r="R49" s="38"/>
      <c r="S49" s="37"/>
      <c r="T49" s="39"/>
      <c r="U49" s="39"/>
      <c r="V49" s="40"/>
      <c r="W49" s="36"/>
      <c r="X49" s="37"/>
      <c r="Y49" s="38"/>
      <c r="Z49" s="37"/>
      <c r="AA49" s="39"/>
      <c r="AB49" s="39"/>
      <c r="AC49" s="40"/>
      <c r="AD49" s="36"/>
      <c r="AE49" s="37"/>
      <c r="AF49" s="38"/>
      <c r="AG49" s="37"/>
      <c r="AH49" s="39"/>
      <c r="AI49" s="39"/>
      <c r="AJ49" s="40"/>
      <c r="AK49" s="8"/>
      <c r="AL49" s="8"/>
    </row>
    <row r="50" spans="1:38">
      <c r="A50" s="8"/>
      <c r="B50" s="36"/>
      <c r="C50" s="37"/>
      <c r="D50" s="38"/>
      <c r="E50" s="37" t="s">
        <v>9</v>
      </c>
      <c r="F50" s="39"/>
      <c r="G50" s="39"/>
      <c r="H50" s="40"/>
      <c r="I50" s="36"/>
      <c r="J50" s="37"/>
      <c r="K50" s="38"/>
      <c r="L50" s="37" t="s">
        <v>9</v>
      </c>
      <c r="M50" s="39"/>
      <c r="N50" s="39"/>
      <c r="O50" s="40"/>
      <c r="P50" s="36"/>
      <c r="Q50" s="37"/>
      <c r="R50" s="38"/>
      <c r="S50" s="37" t="s">
        <v>9</v>
      </c>
      <c r="T50" s="39"/>
      <c r="U50" s="39"/>
      <c r="V50" s="40"/>
      <c r="W50" s="36"/>
      <c r="X50" s="37"/>
      <c r="Y50" s="38"/>
      <c r="Z50" s="37" t="s">
        <v>9</v>
      </c>
      <c r="AA50" s="39"/>
      <c r="AB50" s="39"/>
      <c r="AC50" s="40"/>
      <c r="AD50" s="36"/>
      <c r="AE50" s="37"/>
      <c r="AF50" s="38"/>
      <c r="AG50" s="37" t="s">
        <v>9</v>
      </c>
      <c r="AH50" s="39"/>
      <c r="AI50" s="39"/>
      <c r="AJ50" s="40"/>
      <c r="AK50" s="8"/>
      <c r="AL50" s="8"/>
    </row>
    <row r="51" spans="1:38">
      <c r="A51" s="8"/>
      <c r="B51" s="36"/>
      <c r="C51" s="37"/>
      <c r="D51" s="38"/>
      <c r="E51" s="37"/>
      <c r="F51" s="39"/>
      <c r="G51" s="39"/>
      <c r="H51" s="40"/>
      <c r="I51" s="36"/>
      <c r="J51" s="37"/>
      <c r="K51" s="38"/>
      <c r="L51" s="37"/>
      <c r="M51" s="39"/>
      <c r="N51" s="39"/>
      <c r="O51" s="40"/>
      <c r="P51" s="36"/>
      <c r="Q51" s="37"/>
      <c r="R51" s="38"/>
      <c r="S51" s="37"/>
      <c r="T51" s="39"/>
      <c r="U51" s="39"/>
      <c r="V51" s="40"/>
      <c r="W51" s="36"/>
      <c r="X51" s="37"/>
      <c r="Y51" s="38"/>
      <c r="Z51" s="37"/>
      <c r="AA51" s="39"/>
      <c r="AB51" s="39"/>
      <c r="AC51" s="40"/>
      <c r="AD51" s="36"/>
      <c r="AE51" s="37"/>
      <c r="AF51" s="38"/>
      <c r="AG51" s="37"/>
      <c r="AH51" s="39"/>
      <c r="AI51" s="39"/>
      <c r="AJ51" s="40"/>
      <c r="AK51" s="8"/>
      <c r="AL51" s="8"/>
    </row>
    <row r="52" spans="1:38">
      <c r="A52" s="8"/>
      <c r="B52" s="36"/>
      <c r="C52" s="37"/>
      <c r="D52" s="38"/>
      <c r="E52" s="37"/>
      <c r="F52" s="39"/>
      <c r="G52" s="39"/>
      <c r="H52" s="40"/>
      <c r="I52" s="36"/>
      <c r="J52" s="37"/>
      <c r="K52" s="38"/>
      <c r="L52" s="37"/>
      <c r="M52" s="39"/>
      <c r="N52" s="39"/>
      <c r="O52" s="40"/>
      <c r="P52" s="36"/>
      <c r="Q52" s="37"/>
      <c r="R52" s="38"/>
      <c r="S52" s="37"/>
      <c r="T52" s="39"/>
      <c r="U52" s="39"/>
      <c r="V52" s="40"/>
      <c r="W52" s="36"/>
      <c r="X52" s="37"/>
      <c r="Y52" s="38"/>
      <c r="Z52" s="37"/>
      <c r="AA52" s="39"/>
      <c r="AB52" s="39"/>
      <c r="AC52" s="40"/>
      <c r="AD52" s="36"/>
      <c r="AE52" s="37"/>
      <c r="AF52" s="38"/>
      <c r="AG52" s="37"/>
      <c r="AH52" s="39"/>
      <c r="AI52" s="39"/>
      <c r="AJ52" s="40"/>
      <c r="AK52" s="8"/>
      <c r="AL52" s="8"/>
    </row>
    <row r="53" spans="1:38">
      <c r="A53" s="8"/>
      <c r="B53" s="36"/>
      <c r="C53" s="37"/>
      <c r="D53" s="38"/>
      <c r="E53" s="37"/>
      <c r="F53" s="39"/>
      <c r="G53" s="39"/>
      <c r="H53" s="40"/>
      <c r="I53" s="36"/>
      <c r="J53" s="37"/>
      <c r="K53" s="38"/>
      <c r="L53" s="37"/>
      <c r="M53" s="39"/>
      <c r="N53" s="39"/>
      <c r="O53" s="40"/>
      <c r="P53" s="36"/>
      <c r="Q53" s="37"/>
      <c r="R53" s="38"/>
      <c r="S53" s="37"/>
      <c r="T53" s="39"/>
      <c r="U53" s="39"/>
      <c r="V53" s="40"/>
      <c r="W53" s="36"/>
      <c r="X53" s="37"/>
      <c r="Y53" s="38"/>
      <c r="Z53" s="37"/>
      <c r="AA53" s="39"/>
      <c r="AB53" s="39"/>
      <c r="AC53" s="40"/>
      <c r="AD53" s="36"/>
      <c r="AE53" s="37"/>
      <c r="AF53" s="38"/>
      <c r="AG53" s="37"/>
      <c r="AH53" s="39"/>
      <c r="AI53" s="39"/>
      <c r="AJ53" s="40"/>
      <c r="AK53" s="8"/>
      <c r="AL53" s="8"/>
    </row>
    <row r="54" spans="1:38">
      <c r="A54" s="8"/>
      <c r="B54" s="36"/>
      <c r="C54" s="37"/>
      <c r="D54" s="38"/>
      <c r="E54" s="37"/>
      <c r="F54" s="39"/>
      <c r="G54" s="39"/>
      <c r="H54" s="40"/>
      <c r="I54" s="36"/>
      <c r="J54" s="37"/>
      <c r="K54" s="38"/>
      <c r="L54" s="37"/>
      <c r="M54" s="39"/>
      <c r="N54" s="39"/>
      <c r="O54" s="40"/>
      <c r="P54" s="36"/>
      <c r="Q54" s="37"/>
      <c r="R54" s="38"/>
      <c r="S54" s="37"/>
      <c r="T54" s="39"/>
      <c r="U54" s="39"/>
      <c r="V54" s="40"/>
      <c r="W54" s="36"/>
      <c r="X54" s="37"/>
      <c r="Y54" s="38"/>
      <c r="Z54" s="37"/>
      <c r="AA54" s="39"/>
      <c r="AB54" s="39"/>
      <c r="AC54" s="40"/>
      <c r="AD54" s="36"/>
      <c r="AE54" s="37"/>
      <c r="AF54" s="38"/>
      <c r="AG54" s="37"/>
      <c r="AH54" s="39"/>
      <c r="AI54" s="39"/>
      <c r="AJ54" s="40"/>
      <c r="AK54" s="8"/>
      <c r="AL54" s="8"/>
    </row>
    <row r="55" spans="1:38" ht="17" thickBot="1">
      <c r="A55" s="8"/>
      <c r="B55" s="41"/>
      <c r="C55" s="42"/>
      <c r="D55" s="43"/>
      <c r="E55" s="42"/>
      <c r="F55" s="44"/>
      <c r="G55" s="44"/>
      <c r="H55" s="45"/>
      <c r="I55" s="41"/>
      <c r="J55" s="42"/>
      <c r="K55" s="43"/>
      <c r="L55" s="42"/>
      <c r="M55" s="44"/>
      <c r="N55" s="44"/>
      <c r="O55" s="45"/>
      <c r="P55" s="41"/>
      <c r="Q55" s="42"/>
      <c r="R55" s="43"/>
      <c r="S55" s="42"/>
      <c r="T55" s="44"/>
      <c r="U55" s="44"/>
      <c r="V55" s="45"/>
      <c r="W55" s="41"/>
      <c r="X55" s="42"/>
      <c r="Y55" s="43"/>
      <c r="Z55" s="42"/>
      <c r="AA55" s="44"/>
      <c r="AB55" s="44"/>
      <c r="AC55" s="45"/>
      <c r="AD55" s="41"/>
      <c r="AE55" s="42"/>
      <c r="AF55" s="43"/>
      <c r="AG55" s="42"/>
      <c r="AH55" s="44"/>
      <c r="AI55" s="44"/>
      <c r="AJ55" s="45"/>
      <c r="AK55" s="8"/>
      <c r="AL55" s="8"/>
    </row>
    <row r="56" spans="1:38">
      <c r="A56" s="8"/>
      <c r="B56" s="137" t="str">
        <f>IFERROR(VLOOKUP($H$56,HOLIDAYS!$B$2:$D$22,3,FALSE),"")</f>
        <v/>
      </c>
      <c r="C56" s="138"/>
      <c r="D56" s="138"/>
      <c r="E56" s="138"/>
      <c r="F56" s="138"/>
      <c r="G56" s="138"/>
      <c r="H56" s="30">
        <f>DATE(AN2,AN5,1)-WEEKDAY(DATE(AN2,AN5,1),2)+29</f>
        <v>45194</v>
      </c>
      <c r="I56" s="137" t="str">
        <f>IFERROR(VLOOKUP($O$56,HOLIDAYS!$B$2:$D$22,3,FALSE),"")</f>
        <v/>
      </c>
      <c r="J56" s="138"/>
      <c r="K56" s="138"/>
      <c r="L56" s="138"/>
      <c r="M56" s="138"/>
      <c r="N56" s="138"/>
      <c r="O56" s="30">
        <f>DATE(AN2,AN5,1)-WEEKDAY(DATE(AN2,AN5,1),2)+30</f>
        <v>45195</v>
      </c>
      <c r="P56" s="137" t="str">
        <f>IFERROR(VLOOKUP($V$56,HOLIDAYS!$B$2:$D$22,3,FALSE),"")</f>
        <v/>
      </c>
      <c r="Q56" s="138"/>
      <c r="R56" s="138"/>
      <c r="S56" s="138"/>
      <c r="T56" s="138"/>
      <c r="U56" s="138"/>
      <c r="V56" s="30">
        <f>DATE(AN2,AN5,1)-WEEKDAY(DATE(AN2,AN5,1),2)+31</f>
        <v>45196</v>
      </c>
      <c r="W56" s="137" t="str">
        <f>IFERROR(VLOOKUP($AC$56,HOLIDAYS!$B$2:$D$22,3,FALSE),"")</f>
        <v/>
      </c>
      <c r="X56" s="138"/>
      <c r="Y56" s="138"/>
      <c r="Z56" s="138"/>
      <c r="AA56" s="138"/>
      <c r="AB56" s="138"/>
      <c r="AC56" s="30">
        <f>DATE(AN2,AN5,1)-WEEKDAY(DATE(AN2,AN5,1),2)+32</f>
        <v>45197</v>
      </c>
      <c r="AD56" s="137" t="str">
        <f>IFERROR(VLOOKUP($AJ$56,HOLIDAYS!$B$2:$D$22,3,FALSE),"")</f>
        <v/>
      </c>
      <c r="AE56" s="138"/>
      <c r="AF56" s="138"/>
      <c r="AG56" s="138"/>
      <c r="AH56" s="138"/>
      <c r="AI56" s="138"/>
      <c r="AJ56" s="30">
        <f>DATE(AN2,AN5,1)-WEEKDAY(DATE(AN2,AN5,1),2)+33</f>
        <v>45198</v>
      </c>
      <c r="AK56" s="8"/>
      <c r="AL56" s="8"/>
    </row>
    <row r="57" spans="1:38">
      <c r="A57" s="8"/>
      <c r="B57" s="36"/>
      <c r="C57" s="37"/>
      <c r="D57" s="38"/>
      <c r="E57" s="37" t="s">
        <v>8</v>
      </c>
      <c r="F57" s="39"/>
      <c r="G57" s="39"/>
      <c r="H57" s="40"/>
      <c r="I57" s="36"/>
      <c r="J57" s="37"/>
      <c r="K57" s="38"/>
      <c r="L57" s="37" t="s">
        <v>8</v>
      </c>
      <c r="M57" s="39"/>
      <c r="N57" s="39"/>
      <c r="O57" s="40"/>
      <c r="P57" s="36"/>
      <c r="Q57" s="37"/>
      <c r="R57" s="38"/>
      <c r="S57" s="37" t="s">
        <v>8</v>
      </c>
      <c r="T57" s="39"/>
      <c r="U57" s="39"/>
      <c r="V57" s="40"/>
      <c r="W57" s="36"/>
      <c r="X57" s="37"/>
      <c r="Y57" s="38"/>
      <c r="Z57" s="37" t="s">
        <v>8</v>
      </c>
      <c r="AA57" s="39"/>
      <c r="AB57" s="39"/>
      <c r="AC57" s="40"/>
      <c r="AD57" s="36"/>
      <c r="AE57" s="37"/>
      <c r="AF57" s="38"/>
      <c r="AG57" s="37" t="s">
        <v>8</v>
      </c>
      <c r="AH57" s="39"/>
      <c r="AI57" s="39"/>
      <c r="AJ57" s="40"/>
      <c r="AK57" s="8"/>
      <c r="AL57" s="8"/>
    </row>
    <row r="58" spans="1:38">
      <c r="A58" s="8"/>
      <c r="B58" s="36"/>
      <c r="C58" s="37"/>
      <c r="D58" s="38"/>
      <c r="E58" s="37"/>
      <c r="F58" s="39"/>
      <c r="G58" s="39"/>
      <c r="H58" s="40"/>
      <c r="I58" s="36"/>
      <c r="J58" s="37"/>
      <c r="K58" s="38"/>
      <c r="L58" s="37"/>
      <c r="M58" s="39"/>
      <c r="N58" s="39"/>
      <c r="O58" s="40"/>
      <c r="P58" s="36"/>
      <c r="Q58" s="37"/>
      <c r="R58" s="38"/>
      <c r="S58" s="37"/>
      <c r="T58" s="39"/>
      <c r="U58" s="39"/>
      <c r="V58" s="40"/>
      <c r="W58" s="36"/>
      <c r="X58" s="37"/>
      <c r="Y58" s="38"/>
      <c r="Z58" s="37"/>
      <c r="AA58" s="39"/>
      <c r="AB58" s="39"/>
      <c r="AC58" s="40"/>
      <c r="AD58" s="36"/>
      <c r="AE58" s="37"/>
      <c r="AF58" s="38"/>
      <c r="AG58" s="37"/>
      <c r="AH58" s="39"/>
      <c r="AI58" s="39"/>
      <c r="AJ58" s="40"/>
      <c r="AK58" s="8"/>
      <c r="AL58" s="8"/>
    </row>
    <row r="59" spans="1:38">
      <c r="A59" s="8"/>
      <c r="B59" s="36"/>
      <c r="C59" s="37"/>
      <c r="D59" s="38"/>
      <c r="E59" s="37"/>
      <c r="F59" s="39"/>
      <c r="G59" s="39"/>
      <c r="H59" s="40"/>
      <c r="I59" s="36"/>
      <c r="J59" s="37"/>
      <c r="K59" s="38"/>
      <c r="L59" s="37"/>
      <c r="M59" s="39"/>
      <c r="N59" s="39"/>
      <c r="O59" s="40"/>
      <c r="P59" s="36"/>
      <c r="Q59" s="37"/>
      <c r="R59" s="38"/>
      <c r="S59" s="37"/>
      <c r="T59" s="39"/>
      <c r="U59" s="39"/>
      <c r="V59" s="40"/>
      <c r="W59" s="36"/>
      <c r="X59" s="37"/>
      <c r="Y59" s="38"/>
      <c r="Z59" s="37"/>
      <c r="AA59" s="39"/>
      <c r="AB59" s="39"/>
      <c r="AC59" s="40"/>
      <c r="AD59" s="36"/>
      <c r="AE59" s="37"/>
      <c r="AF59" s="38"/>
      <c r="AG59" s="37"/>
      <c r="AH59" s="39"/>
      <c r="AI59" s="39"/>
      <c r="AJ59" s="40"/>
      <c r="AK59" s="8"/>
      <c r="AL59" s="8"/>
    </row>
    <row r="60" spans="1:38">
      <c r="A60" s="8"/>
      <c r="B60" s="36"/>
      <c r="C60" s="37"/>
      <c r="D60" s="38"/>
      <c r="E60" s="37"/>
      <c r="F60" s="39"/>
      <c r="G60" s="39"/>
      <c r="H60" s="40"/>
      <c r="I60" s="36"/>
      <c r="J60" s="37"/>
      <c r="K60" s="38"/>
      <c r="L60" s="37"/>
      <c r="M60" s="39"/>
      <c r="N60" s="39"/>
      <c r="O60" s="40"/>
      <c r="P60" s="36"/>
      <c r="Q60" s="37"/>
      <c r="R60" s="38"/>
      <c r="S60" s="37"/>
      <c r="T60" s="39"/>
      <c r="U60" s="39"/>
      <c r="V60" s="40"/>
      <c r="W60" s="36"/>
      <c r="X60" s="37"/>
      <c r="Y60" s="38"/>
      <c r="Z60" s="37"/>
      <c r="AA60" s="39"/>
      <c r="AB60" s="39"/>
      <c r="AC60" s="40"/>
      <c r="AD60" s="36"/>
      <c r="AE60" s="37"/>
      <c r="AF60" s="38"/>
      <c r="AG60" s="37"/>
      <c r="AH60" s="39"/>
      <c r="AI60" s="39"/>
      <c r="AJ60" s="40"/>
      <c r="AK60" s="8"/>
      <c r="AL60" s="8"/>
    </row>
    <row r="61" spans="1:38">
      <c r="A61" s="8"/>
      <c r="B61" s="36"/>
      <c r="C61" s="37"/>
      <c r="D61" s="38"/>
      <c r="E61" s="37"/>
      <c r="F61" s="39"/>
      <c r="G61" s="39"/>
      <c r="H61" s="40"/>
      <c r="I61" s="36"/>
      <c r="J61" s="37"/>
      <c r="K61" s="38"/>
      <c r="L61" s="37"/>
      <c r="M61" s="39"/>
      <c r="N61" s="39"/>
      <c r="O61" s="40"/>
      <c r="P61" s="36"/>
      <c r="Q61" s="37"/>
      <c r="R61" s="38"/>
      <c r="S61" s="37"/>
      <c r="T61" s="39"/>
      <c r="U61" s="39"/>
      <c r="V61" s="40"/>
      <c r="W61" s="36"/>
      <c r="X61" s="37"/>
      <c r="Y61" s="38"/>
      <c r="Z61" s="37"/>
      <c r="AA61" s="39"/>
      <c r="AB61" s="39"/>
      <c r="AC61" s="40"/>
      <c r="AD61" s="36"/>
      <c r="AE61" s="37"/>
      <c r="AF61" s="38"/>
      <c r="AG61" s="37"/>
      <c r="AH61" s="39"/>
      <c r="AI61" s="39"/>
      <c r="AJ61" s="40"/>
      <c r="AK61" s="8"/>
      <c r="AL61" s="8"/>
    </row>
    <row r="62" spans="1:38">
      <c r="A62" s="8"/>
      <c r="B62" s="36"/>
      <c r="C62" s="37"/>
      <c r="D62" s="38"/>
      <c r="E62" s="37" t="s">
        <v>9</v>
      </c>
      <c r="F62" s="39"/>
      <c r="G62" s="39"/>
      <c r="H62" s="40"/>
      <c r="I62" s="36"/>
      <c r="J62" s="37"/>
      <c r="K62" s="38"/>
      <c r="L62" s="37" t="s">
        <v>9</v>
      </c>
      <c r="M62" s="39"/>
      <c r="N62" s="39"/>
      <c r="O62" s="40"/>
      <c r="P62" s="36"/>
      <c r="Q62" s="37"/>
      <c r="R62" s="38"/>
      <c r="S62" s="37" t="s">
        <v>9</v>
      </c>
      <c r="T62" s="39"/>
      <c r="U62" s="39"/>
      <c r="V62" s="40"/>
      <c r="W62" s="36"/>
      <c r="X62" s="37"/>
      <c r="Y62" s="38"/>
      <c r="Z62" s="37" t="s">
        <v>9</v>
      </c>
      <c r="AA62" s="39"/>
      <c r="AB62" s="39"/>
      <c r="AC62" s="40"/>
      <c r="AD62" s="36"/>
      <c r="AE62" s="37"/>
      <c r="AF62" s="38"/>
      <c r="AG62" s="37" t="s">
        <v>9</v>
      </c>
      <c r="AH62" s="39"/>
      <c r="AI62" s="39"/>
      <c r="AJ62" s="40"/>
      <c r="AK62" s="8"/>
      <c r="AL62" s="8"/>
    </row>
    <row r="63" spans="1:38">
      <c r="A63" s="8"/>
      <c r="B63" s="36"/>
      <c r="C63" s="37"/>
      <c r="D63" s="38"/>
      <c r="E63" s="37"/>
      <c r="F63" s="39"/>
      <c r="G63" s="39"/>
      <c r="H63" s="40"/>
      <c r="I63" s="36"/>
      <c r="J63" s="37"/>
      <c r="K63" s="38"/>
      <c r="L63" s="37"/>
      <c r="M63" s="39"/>
      <c r="N63" s="39"/>
      <c r="O63" s="40"/>
      <c r="P63" s="36"/>
      <c r="Q63" s="37"/>
      <c r="R63" s="38"/>
      <c r="S63" s="37"/>
      <c r="T63" s="39"/>
      <c r="U63" s="39"/>
      <c r="V63" s="40"/>
      <c r="W63" s="36"/>
      <c r="X63" s="37"/>
      <c r="Y63" s="38"/>
      <c r="Z63" s="37"/>
      <c r="AA63" s="39"/>
      <c r="AB63" s="39"/>
      <c r="AC63" s="40"/>
      <c r="AD63" s="36"/>
      <c r="AE63" s="37"/>
      <c r="AF63" s="38"/>
      <c r="AG63" s="37"/>
      <c r="AH63" s="39"/>
      <c r="AI63" s="39"/>
      <c r="AJ63" s="40"/>
      <c r="AK63" s="8"/>
      <c r="AL63" s="8"/>
    </row>
    <row r="64" spans="1:38">
      <c r="A64" s="8"/>
      <c r="B64" s="36"/>
      <c r="C64" s="37"/>
      <c r="D64" s="38"/>
      <c r="E64" s="37"/>
      <c r="F64" s="39"/>
      <c r="G64" s="39"/>
      <c r="H64" s="40"/>
      <c r="I64" s="36"/>
      <c r="J64" s="37"/>
      <c r="K64" s="38"/>
      <c r="L64" s="37"/>
      <c r="M64" s="39"/>
      <c r="N64" s="39"/>
      <c r="O64" s="40"/>
      <c r="P64" s="36"/>
      <c r="Q64" s="37"/>
      <c r="R64" s="38"/>
      <c r="S64" s="37"/>
      <c r="T64" s="39"/>
      <c r="U64" s="39"/>
      <c r="V64" s="40"/>
      <c r="W64" s="36"/>
      <c r="X64" s="37"/>
      <c r="Y64" s="38"/>
      <c r="Z64" s="37"/>
      <c r="AA64" s="39"/>
      <c r="AB64" s="39"/>
      <c r="AC64" s="40"/>
      <c r="AD64" s="36"/>
      <c r="AE64" s="37"/>
      <c r="AF64" s="38"/>
      <c r="AG64" s="37"/>
      <c r="AH64" s="39"/>
      <c r="AI64" s="39"/>
      <c r="AJ64" s="40"/>
      <c r="AK64" s="8"/>
      <c r="AL64" s="8"/>
    </row>
    <row r="65" spans="1:38">
      <c r="A65" s="8"/>
      <c r="B65" s="36"/>
      <c r="C65" s="37"/>
      <c r="D65" s="38"/>
      <c r="E65" s="37"/>
      <c r="F65" s="39"/>
      <c r="G65" s="39"/>
      <c r="H65" s="40"/>
      <c r="I65" s="36"/>
      <c r="J65" s="37"/>
      <c r="K65" s="38"/>
      <c r="L65" s="37"/>
      <c r="M65" s="39"/>
      <c r="N65" s="39"/>
      <c r="O65" s="40"/>
      <c r="P65" s="36"/>
      <c r="Q65" s="37"/>
      <c r="R65" s="38"/>
      <c r="S65" s="37"/>
      <c r="T65" s="39"/>
      <c r="U65" s="39"/>
      <c r="V65" s="40"/>
      <c r="W65" s="36"/>
      <c r="X65" s="37"/>
      <c r="Y65" s="38"/>
      <c r="Z65" s="37"/>
      <c r="AA65" s="39"/>
      <c r="AB65" s="39"/>
      <c r="AC65" s="40"/>
      <c r="AD65" s="36"/>
      <c r="AE65" s="37"/>
      <c r="AF65" s="38"/>
      <c r="AG65" s="37"/>
      <c r="AH65" s="39"/>
      <c r="AI65" s="39"/>
      <c r="AJ65" s="40"/>
      <c r="AK65" s="8"/>
      <c r="AL65" s="8"/>
    </row>
    <row r="66" spans="1:38">
      <c r="A66" s="8"/>
      <c r="B66" s="36"/>
      <c r="C66" s="37"/>
      <c r="D66" s="38"/>
      <c r="E66" s="37"/>
      <c r="F66" s="39"/>
      <c r="G66" s="39"/>
      <c r="H66" s="40"/>
      <c r="I66" s="36"/>
      <c r="J66" s="37"/>
      <c r="K66" s="38"/>
      <c r="L66" s="37"/>
      <c r="M66" s="39"/>
      <c r="N66" s="39"/>
      <c r="O66" s="40"/>
      <c r="P66" s="36"/>
      <c r="Q66" s="37"/>
      <c r="R66" s="38"/>
      <c r="S66" s="37"/>
      <c r="T66" s="39"/>
      <c r="U66" s="39"/>
      <c r="V66" s="40"/>
      <c r="W66" s="36"/>
      <c r="X66" s="37"/>
      <c r="Y66" s="38"/>
      <c r="Z66" s="37"/>
      <c r="AA66" s="39"/>
      <c r="AB66" s="39"/>
      <c r="AC66" s="40"/>
      <c r="AD66" s="36"/>
      <c r="AE66" s="37"/>
      <c r="AF66" s="38"/>
      <c r="AG66" s="37"/>
      <c r="AH66" s="39"/>
      <c r="AI66" s="39"/>
      <c r="AJ66" s="40"/>
      <c r="AK66" s="8"/>
      <c r="AL66" s="8"/>
    </row>
    <row r="67" spans="1:38" ht="17" thickBot="1">
      <c r="A67" s="8"/>
      <c r="B67" s="41"/>
      <c r="C67" s="42"/>
      <c r="D67" s="43"/>
      <c r="E67" s="42"/>
      <c r="F67" s="44"/>
      <c r="G67" s="44"/>
      <c r="H67" s="45"/>
      <c r="I67" s="41"/>
      <c r="J67" s="42"/>
      <c r="K67" s="43"/>
      <c r="L67" s="42"/>
      <c r="M67" s="44"/>
      <c r="N67" s="44"/>
      <c r="O67" s="45"/>
      <c r="P67" s="41"/>
      <c r="Q67" s="42"/>
      <c r="R67" s="43"/>
      <c r="S67" s="42"/>
      <c r="T67" s="44"/>
      <c r="U67" s="44"/>
      <c r="V67" s="45"/>
      <c r="W67" s="41"/>
      <c r="X67" s="42"/>
      <c r="Y67" s="43"/>
      <c r="Z67" s="42"/>
      <c r="AA67" s="44"/>
      <c r="AB67" s="44"/>
      <c r="AC67" s="45"/>
      <c r="AD67" s="41"/>
      <c r="AE67" s="42"/>
      <c r="AF67" s="43"/>
      <c r="AG67" s="42"/>
      <c r="AH67" s="44"/>
      <c r="AI67" s="44"/>
      <c r="AJ67" s="45"/>
      <c r="AK67" s="8"/>
      <c r="AL67" s="8"/>
    </row>
    <row r="68" spans="1:38">
      <c r="A68" s="8"/>
      <c r="B68" s="137" t="str">
        <f>IFERROR(VLOOKUP($H$68,HOLIDAYS!$B$2:$D$22,3,FALSE),"")</f>
        <v/>
      </c>
      <c r="C68" s="138"/>
      <c r="D68" s="138"/>
      <c r="E68" s="138"/>
      <c r="F68" s="138"/>
      <c r="G68" s="138"/>
      <c r="H68" s="30">
        <f>DATE(AN2,AN5,1)-WEEKDAY(DATE(AN2,AN5,1),2)+36</f>
        <v>45201</v>
      </c>
      <c r="I68" s="137" t="str">
        <f>IFERROR(VLOOKUP($O$68,HOLIDAYS!$B$2:$D$22,3,FALSE),"")</f>
        <v/>
      </c>
      <c r="J68" s="138"/>
      <c r="K68" s="138"/>
      <c r="L68" s="138"/>
      <c r="M68" s="138"/>
      <c r="N68" s="138"/>
      <c r="O68" s="30">
        <f>DATE(AN2,AN5,1)-WEEKDAY(DATE(AN2,AN5,1),2)+37</f>
        <v>45202</v>
      </c>
      <c r="P68" s="137" t="str">
        <f>IFERROR(VLOOKUP($V$68,HOLIDAYS!$B$2:$D$22,3,FALSE),"")</f>
        <v/>
      </c>
      <c r="Q68" s="138"/>
      <c r="R68" s="138"/>
      <c r="S68" s="138"/>
      <c r="T68" s="138"/>
      <c r="U68" s="138"/>
      <c r="V68" s="30">
        <f>DATE(AN2,AN5,1)-WEEKDAY(DATE(AN2,AN5,1),2)+38</f>
        <v>45203</v>
      </c>
      <c r="W68" s="137" t="str">
        <f>IFERROR(VLOOKUP($AC$68,HOLIDAYS!$B$2:$D$22,3,FALSE),"")</f>
        <v/>
      </c>
      <c r="X68" s="138"/>
      <c r="Y68" s="138"/>
      <c r="Z68" s="138"/>
      <c r="AA68" s="138"/>
      <c r="AB68" s="138"/>
      <c r="AC68" s="30">
        <f>DATE(AN2,AN5,1)-WEEKDAY(DATE(AN2,AN5,1),2)+39</f>
        <v>45204</v>
      </c>
      <c r="AD68" s="137" t="str">
        <f>IFERROR(VLOOKUP($AJ$68,HOLIDAYS!$B$2:$D$22,3,FALSE),"")</f>
        <v/>
      </c>
      <c r="AE68" s="138"/>
      <c r="AF68" s="138"/>
      <c r="AG68" s="138"/>
      <c r="AH68" s="138"/>
      <c r="AI68" s="138"/>
      <c r="AJ68" s="30">
        <f>DATE(AN2,AN5,1)-WEEKDAY(DATE(AN2,AN5,1),2)+40</f>
        <v>45205</v>
      </c>
      <c r="AK68" s="8"/>
      <c r="AL68" s="8"/>
    </row>
    <row r="69" spans="1:38">
      <c r="A69" s="8"/>
      <c r="B69" s="36"/>
      <c r="C69" s="37"/>
      <c r="D69" s="38"/>
      <c r="E69" s="37" t="s">
        <v>8</v>
      </c>
      <c r="F69" s="39"/>
      <c r="G69" s="39"/>
      <c r="H69" s="40"/>
      <c r="I69" s="36"/>
      <c r="J69" s="37"/>
      <c r="K69" s="38"/>
      <c r="L69" s="37" t="s">
        <v>8</v>
      </c>
      <c r="M69" s="39"/>
      <c r="N69" s="39"/>
      <c r="O69" s="40"/>
      <c r="P69" s="36"/>
      <c r="Q69" s="37"/>
      <c r="R69" s="38"/>
      <c r="S69" s="37" t="s">
        <v>8</v>
      </c>
      <c r="T69" s="39"/>
      <c r="U69" s="39"/>
      <c r="V69" s="40"/>
      <c r="W69" s="36"/>
      <c r="X69" s="37"/>
      <c r="Y69" s="38"/>
      <c r="Z69" s="37" t="s">
        <v>8</v>
      </c>
      <c r="AA69" s="39"/>
      <c r="AB69" s="39"/>
      <c r="AC69" s="40"/>
      <c r="AD69" s="36"/>
      <c r="AE69" s="37"/>
      <c r="AF69" s="38"/>
      <c r="AG69" s="37" t="s">
        <v>8</v>
      </c>
      <c r="AH69" s="39"/>
      <c r="AI69" s="39"/>
      <c r="AJ69" s="40"/>
      <c r="AK69" s="8"/>
      <c r="AL69" s="8"/>
    </row>
    <row r="70" spans="1:38">
      <c r="A70" s="8"/>
      <c r="B70" s="36"/>
      <c r="C70" s="37"/>
      <c r="D70" s="38"/>
      <c r="E70" s="37"/>
      <c r="F70" s="39"/>
      <c r="G70" s="39"/>
      <c r="H70" s="40"/>
      <c r="I70" s="36"/>
      <c r="J70" s="37"/>
      <c r="K70" s="38"/>
      <c r="L70" s="37"/>
      <c r="M70" s="39"/>
      <c r="N70" s="39"/>
      <c r="O70" s="40"/>
      <c r="P70" s="36"/>
      <c r="Q70" s="37"/>
      <c r="R70" s="38"/>
      <c r="S70" s="37"/>
      <c r="T70" s="39"/>
      <c r="U70" s="39"/>
      <c r="V70" s="40"/>
      <c r="W70" s="36"/>
      <c r="X70" s="37"/>
      <c r="Y70" s="38"/>
      <c r="Z70" s="37"/>
      <c r="AA70" s="39"/>
      <c r="AB70" s="39"/>
      <c r="AC70" s="40"/>
      <c r="AD70" s="36"/>
      <c r="AE70" s="37"/>
      <c r="AF70" s="38"/>
      <c r="AG70" s="37"/>
      <c r="AH70" s="39"/>
      <c r="AI70" s="39"/>
      <c r="AJ70" s="40"/>
      <c r="AK70" s="8"/>
      <c r="AL70" s="8"/>
    </row>
    <row r="71" spans="1:38">
      <c r="A71" s="8"/>
      <c r="B71" s="36"/>
      <c r="C71" s="37"/>
      <c r="D71" s="38"/>
      <c r="E71" s="37"/>
      <c r="F71" s="39"/>
      <c r="G71" s="39"/>
      <c r="H71" s="40"/>
      <c r="I71" s="36"/>
      <c r="J71" s="37"/>
      <c r="K71" s="38"/>
      <c r="L71" s="37"/>
      <c r="M71" s="39"/>
      <c r="N71" s="39"/>
      <c r="O71" s="40"/>
      <c r="P71" s="36"/>
      <c r="Q71" s="37"/>
      <c r="R71" s="38"/>
      <c r="S71" s="37"/>
      <c r="T71" s="39"/>
      <c r="U71" s="39"/>
      <c r="V71" s="40"/>
      <c r="W71" s="36"/>
      <c r="X71" s="37"/>
      <c r="Y71" s="38"/>
      <c r="Z71" s="37"/>
      <c r="AA71" s="39"/>
      <c r="AB71" s="39"/>
      <c r="AC71" s="40"/>
      <c r="AD71" s="36"/>
      <c r="AE71" s="37"/>
      <c r="AF71" s="38"/>
      <c r="AG71" s="37"/>
      <c r="AH71" s="39"/>
      <c r="AI71" s="39"/>
      <c r="AJ71" s="40"/>
      <c r="AK71" s="8"/>
      <c r="AL71" s="8"/>
    </row>
    <row r="72" spans="1:38">
      <c r="A72" s="8"/>
      <c r="B72" s="36"/>
      <c r="C72" s="37"/>
      <c r="D72" s="38"/>
      <c r="E72" s="37"/>
      <c r="F72" s="39"/>
      <c r="G72" s="39"/>
      <c r="H72" s="40"/>
      <c r="I72" s="36"/>
      <c r="J72" s="37"/>
      <c r="K72" s="38"/>
      <c r="L72" s="37"/>
      <c r="M72" s="39"/>
      <c r="N72" s="39"/>
      <c r="O72" s="40"/>
      <c r="P72" s="36"/>
      <c r="Q72" s="37"/>
      <c r="R72" s="38"/>
      <c r="S72" s="37"/>
      <c r="T72" s="39"/>
      <c r="U72" s="39"/>
      <c r="V72" s="40"/>
      <c r="W72" s="36"/>
      <c r="X72" s="37"/>
      <c r="Y72" s="38"/>
      <c r="Z72" s="37"/>
      <c r="AA72" s="39"/>
      <c r="AB72" s="39"/>
      <c r="AC72" s="40"/>
      <c r="AD72" s="36"/>
      <c r="AE72" s="37"/>
      <c r="AF72" s="38"/>
      <c r="AG72" s="37"/>
      <c r="AH72" s="39"/>
      <c r="AI72" s="39"/>
      <c r="AJ72" s="40"/>
      <c r="AK72" s="8"/>
      <c r="AL72" s="8"/>
    </row>
    <row r="73" spans="1:38">
      <c r="A73" s="8"/>
      <c r="B73" s="36"/>
      <c r="C73" s="37"/>
      <c r="D73" s="38"/>
      <c r="E73" s="37"/>
      <c r="F73" s="39"/>
      <c r="G73" s="39"/>
      <c r="H73" s="40"/>
      <c r="I73" s="36"/>
      <c r="J73" s="37"/>
      <c r="K73" s="38"/>
      <c r="L73" s="37"/>
      <c r="M73" s="39"/>
      <c r="N73" s="39"/>
      <c r="O73" s="40"/>
      <c r="P73" s="36"/>
      <c r="Q73" s="37"/>
      <c r="R73" s="38"/>
      <c r="S73" s="37"/>
      <c r="T73" s="39"/>
      <c r="U73" s="39"/>
      <c r="V73" s="40"/>
      <c r="W73" s="36"/>
      <c r="X73" s="37"/>
      <c r="Y73" s="38"/>
      <c r="Z73" s="37"/>
      <c r="AA73" s="39"/>
      <c r="AB73" s="39"/>
      <c r="AC73" s="40"/>
      <c r="AD73" s="36"/>
      <c r="AE73" s="37"/>
      <c r="AF73" s="38"/>
      <c r="AG73" s="37"/>
      <c r="AH73" s="39"/>
      <c r="AI73" s="39"/>
      <c r="AJ73" s="40"/>
      <c r="AK73" s="8"/>
      <c r="AL73" s="8"/>
    </row>
    <row r="74" spans="1:38">
      <c r="A74" s="8"/>
      <c r="B74" s="36"/>
      <c r="C74" s="37"/>
      <c r="D74" s="38"/>
      <c r="E74" s="37" t="s">
        <v>9</v>
      </c>
      <c r="F74" s="39"/>
      <c r="G74" s="39"/>
      <c r="H74" s="40"/>
      <c r="I74" s="36"/>
      <c r="J74" s="37"/>
      <c r="K74" s="38"/>
      <c r="L74" s="37" t="s">
        <v>9</v>
      </c>
      <c r="M74" s="39"/>
      <c r="N74" s="39"/>
      <c r="O74" s="40"/>
      <c r="P74" s="36"/>
      <c r="Q74" s="37"/>
      <c r="R74" s="38"/>
      <c r="S74" s="37" t="s">
        <v>9</v>
      </c>
      <c r="T74" s="39"/>
      <c r="U74" s="39"/>
      <c r="V74" s="40"/>
      <c r="W74" s="36"/>
      <c r="X74" s="37"/>
      <c r="Y74" s="38"/>
      <c r="Z74" s="37" t="s">
        <v>9</v>
      </c>
      <c r="AA74" s="39"/>
      <c r="AB74" s="39"/>
      <c r="AC74" s="40"/>
      <c r="AD74" s="36"/>
      <c r="AE74" s="37"/>
      <c r="AF74" s="38"/>
      <c r="AG74" s="37" t="s">
        <v>9</v>
      </c>
      <c r="AH74" s="39"/>
      <c r="AI74" s="39"/>
      <c r="AJ74" s="40"/>
      <c r="AK74" s="8"/>
      <c r="AL74" s="8"/>
    </row>
    <row r="75" spans="1:38">
      <c r="A75" s="8"/>
      <c r="B75" s="36"/>
      <c r="C75" s="37"/>
      <c r="D75" s="38"/>
      <c r="E75" s="37"/>
      <c r="F75" s="39"/>
      <c r="G75" s="39"/>
      <c r="H75" s="40"/>
      <c r="I75" s="36"/>
      <c r="J75" s="37"/>
      <c r="K75" s="38"/>
      <c r="L75" s="37"/>
      <c r="M75" s="39"/>
      <c r="N75" s="39"/>
      <c r="O75" s="40"/>
      <c r="P75" s="36"/>
      <c r="Q75" s="37"/>
      <c r="R75" s="38"/>
      <c r="S75" s="37"/>
      <c r="T75" s="39"/>
      <c r="U75" s="39"/>
      <c r="V75" s="40"/>
      <c r="W75" s="36"/>
      <c r="X75" s="37"/>
      <c r="Y75" s="38"/>
      <c r="Z75" s="37"/>
      <c r="AA75" s="39"/>
      <c r="AB75" s="39"/>
      <c r="AC75" s="40"/>
      <c r="AD75" s="36"/>
      <c r="AE75" s="37"/>
      <c r="AF75" s="38"/>
      <c r="AG75" s="37"/>
      <c r="AH75" s="39"/>
      <c r="AI75" s="39"/>
      <c r="AJ75" s="40"/>
      <c r="AK75" s="8"/>
      <c r="AL75" s="8"/>
    </row>
    <row r="76" spans="1:38">
      <c r="A76" s="8"/>
      <c r="B76" s="36"/>
      <c r="C76" s="37"/>
      <c r="D76" s="38"/>
      <c r="E76" s="37"/>
      <c r="F76" s="39"/>
      <c r="G76" s="39"/>
      <c r="H76" s="40"/>
      <c r="I76" s="36"/>
      <c r="J76" s="37"/>
      <c r="K76" s="38"/>
      <c r="L76" s="37"/>
      <c r="M76" s="39"/>
      <c r="N76" s="39"/>
      <c r="O76" s="40"/>
      <c r="P76" s="36"/>
      <c r="Q76" s="37"/>
      <c r="R76" s="38"/>
      <c r="S76" s="37"/>
      <c r="T76" s="39"/>
      <c r="U76" s="39"/>
      <c r="V76" s="40"/>
      <c r="W76" s="36"/>
      <c r="X76" s="37"/>
      <c r="Y76" s="38"/>
      <c r="Z76" s="37"/>
      <c r="AA76" s="39"/>
      <c r="AB76" s="39"/>
      <c r="AC76" s="40"/>
      <c r="AD76" s="36"/>
      <c r="AE76" s="37"/>
      <c r="AF76" s="38"/>
      <c r="AG76" s="37"/>
      <c r="AH76" s="39"/>
      <c r="AI76" s="39"/>
      <c r="AJ76" s="40"/>
      <c r="AK76" s="8"/>
      <c r="AL76" s="8"/>
    </row>
    <row r="77" spans="1:38">
      <c r="A77" s="8"/>
      <c r="B77" s="36"/>
      <c r="C77" s="37"/>
      <c r="D77" s="38"/>
      <c r="E77" s="37"/>
      <c r="F77" s="39"/>
      <c r="G77" s="39"/>
      <c r="H77" s="40"/>
      <c r="I77" s="36"/>
      <c r="J77" s="37"/>
      <c r="K77" s="38"/>
      <c r="L77" s="37"/>
      <c r="M77" s="39"/>
      <c r="N77" s="39"/>
      <c r="O77" s="40"/>
      <c r="P77" s="36"/>
      <c r="Q77" s="37"/>
      <c r="R77" s="38"/>
      <c r="S77" s="37"/>
      <c r="T77" s="39"/>
      <c r="U77" s="39"/>
      <c r="V77" s="40"/>
      <c r="W77" s="36"/>
      <c r="X77" s="37"/>
      <c r="Y77" s="38"/>
      <c r="Z77" s="37"/>
      <c r="AA77" s="39"/>
      <c r="AB77" s="39"/>
      <c r="AC77" s="40"/>
      <c r="AD77" s="36"/>
      <c r="AE77" s="37"/>
      <c r="AF77" s="38"/>
      <c r="AG77" s="37"/>
      <c r="AH77" s="39"/>
      <c r="AI77" s="39"/>
      <c r="AJ77" s="40"/>
      <c r="AK77" s="8"/>
      <c r="AL77" s="8"/>
    </row>
    <row r="78" spans="1:38">
      <c r="A78" s="8"/>
      <c r="B78" s="36"/>
      <c r="C78" s="37"/>
      <c r="D78" s="38"/>
      <c r="E78" s="37"/>
      <c r="F78" s="39"/>
      <c r="G78" s="39"/>
      <c r="H78" s="40"/>
      <c r="I78" s="36"/>
      <c r="J78" s="37"/>
      <c r="K78" s="38"/>
      <c r="L78" s="37"/>
      <c r="M78" s="39"/>
      <c r="N78" s="39"/>
      <c r="O78" s="40"/>
      <c r="P78" s="36"/>
      <c r="Q78" s="37"/>
      <c r="R78" s="38"/>
      <c r="S78" s="37"/>
      <c r="T78" s="39"/>
      <c r="U78" s="39"/>
      <c r="V78" s="40"/>
      <c r="W78" s="36"/>
      <c r="X78" s="37"/>
      <c r="Y78" s="38"/>
      <c r="Z78" s="37"/>
      <c r="AA78" s="39"/>
      <c r="AB78" s="39"/>
      <c r="AC78" s="40"/>
      <c r="AD78" s="36"/>
      <c r="AE78" s="37"/>
      <c r="AF78" s="38"/>
      <c r="AG78" s="37"/>
      <c r="AH78" s="39"/>
      <c r="AI78" s="39"/>
      <c r="AJ78" s="40"/>
      <c r="AK78" s="8"/>
      <c r="AL78" s="8"/>
    </row>
    <row r="79" spans="1:38" ht="17" thickBot="1">
      <c r="A79" s="8"/>
      <c r="B79" s="41"/>
      <c r="C79" s="42"/>
      <c r="D79" s="43"/>
      <c r="E79" s="42"/>
      <c r="F79" s="44"/>
      <c r="G79" s="44"/>
      <c r="H79" s="45"/>
      <c r="I79" s="41"/>
      <c r="J79" s="42"/>
      <c r="K79" s="43"/>
      <c r="L79" s="42"/>
      <c r="M79" s="44"/>
      <c r="N79" s="44"/>
      <c r="O79" s="45"/>
      <c r="P79" s="41"/>
      <c r="Q79" s="42"/>
      <c r="R79" s="43"/>
      <c r="S79" s="42"/>
      <c r="T79" s="44"/>
      <c r="U79" s="44"/>
      <c r="V79" s="45"/>
      <c r="W79" s="41"/>
      <c r="X79" s="42"/>
      <c r="Y79" s="43"/>
      <c r="Z79" s="42"/>
      <c r="AA79" s="44"/>
      <c r="AB79" s="44"/>
      <c r="AC79" s="45"/>
      <c r="AD79" s="41"/>
      <c r="AE79" s="42"/>
      <c r="AF79" s="43"/>
      <c r="AG79" s="42"/>
      <c r="AH79" s="44"/>
      <c r="AI79" s="44"/>
      <c r="AJ79" s="45"/>
      <c r="AK79" s="8"/>
      <c r="AL79" s="8"/>
    </row>
    <row r="80" spans="1:3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</row>
    <row r="81" spans="1:3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</row>
    <row r="82" spans="1:3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</row>
    <row r="83" spans="1:3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</row>
  </sheetData>
  <mergeCells count="41">
    <mergeCell ref="B68:G68"/>
    <mergeCell ref="I68:N68"/>
    <mergeCell ref="P68:U68"/>
    <mergeCell ref="W68:AB68"/>
    <mergeCell ref="AD68:AI68"/>
    <mergeCell ref="B44:G44"/>
    <mergeCell ref="I44:N44"/>
    <mergeCell ref="P44:U44"/>
    <mergeCell ref="W44:AB44"/>
    <mergeCell ref="AD44:AI44"/>
    <mergeCell ref="B56:G56"/>
    <mergeCell ref="I56:N56"/>
    <mergeCell ref="P56:U56"/>
    <mergeCell ref="W56:AB56"/>
    <mergeCell ref="AD56:AI56"/>
    <mergeCell ref="B20:G20"/>
    <mergeCell ref="I20:N20"/>
    <mergeCell ref="P20:U20"/>
    <mergeCell ref="W20:AB20"/>
    <mergeCell ref="AD20:AI20"/>
    <mergeCell ref="B32:G32"/>
    <mergeCell ref="I32:N32"/>
    <mergeCell ref="P32:U32"/>
    <mergeCell ref="W32:AB32"/>
    <mergeCell ref="AD32:AI32"/>
    <mergeCell ref="AM5:AM6"/>
    <mergeCell ref="AN5:AN6"/>
    <mergeCell ref="B8:G8"/>
    <mergeCell ref="I8:N8"/>
    <mergeCell ref="P8:U8"/>
    <mergeCell ref="W8:AB8"/>
    <mergeCell ref="AD8:AI8"/>
    <mergeCell ref="B1:D1"/>
    <mergeCell ref="AM1:AO1"/>
    <mergeCell ref="B2:H2"/>
    <mergeCell ref="I2:O2"/>
    <mergeCell ref="P2:V2"/>
    <mergeCell ref="W2:AC2"/>
    <mergeCell ref="AD2:AJ2"/>
    <mergeCell ref="AM2:AM3"/>
    <mergeCell ref="AN2:AN3"/>
  </mergeCells>
  <conditionalFormatting sqref="C9:C19">
    <cfRule type="containsText" dxfId="317" priority="314" operator="containsText" text="ONE">
      <formula>NOT(ISERROR(SEARCH("ONE",C9)))</formula>
    </cfRule>
    <cfRule type="containsText" dxfId="316" priority="315" operator="containsText" text="GEM">
      <formula>NOT(ISERROR(SEARCH("GEM",C9)))</formula>
    </cfRule>
    <cfRule type="containsText" dxfId="315" priority="316" operator="containsText" text="ANIMAX">
      <formula>NOT(ISERROR(SEARCH("ANIMAX",C9)))</formula>
    </cfRule>
    <cfRule type="containsText" dxfId="314" priority="317" operator="containsText" text="AXN TW">
      <formula>NOT(ISERROR(SEARCH("AXN TW",C9)))</formula>
    </cfRule>
    <cfRule type="containsText" dxfId="313" priority="318" operator="containsText" text="AXN">
      <formula>NOT(ISERROR(SEARCH("AXN",C9)))</formula>
    </cfRule>
  </conditionalFormatting>
  <conditionalFormatting sqref="E9:E19">
    <cfRule type="containsText" dxfId="312" priority="311" stopIfTrue="1" operator="containsText" text="Master">
      <formula>NOT(ISERROR(SEARCH("Master",E9)))</formula>
    </cfRule>
    <cfRule type="containsText" dxfId="311" priority="312" stopIfTrue="1" operator="containsText" text="Freelance Audio">
      <formula>NOT(ISERROR(SEARCH("Freelance Audio",E9)))</formula>
    </cfRule>
    <cfRule type="containsText" dxfId="310" priority="313" stopIfTrue="1" operator="containsText" text="Audio">
      <formula>NOT(ISERROR(SEARCH("Audio",E9)))</formula>
    </cfRule>
  </conditionalFormatting>
  <conditionalFormatting sqref="J9:J19">
    <cfRule type="containsText" dxfId="309" priority="306" operator="containsText" text="ONE">
      <formula>NOT(ISERROR(SEARCH("ONE",J9)))</formula>
    </cfRule>
    <cfRule type="containsText" dxfId="308" priority="307" operator="containsText" text="GEM">
      <formula>NOT(ISERROR(SEARCH("GEM",J9)))</formula>
    </cfRule>
    <cfRule type="containsText" dxfId="307" priority="308" operator="containsText" text="ANIMAX">
      <formula>NOT(ISERROR(SEARCH("ANIMAX",J9)))</formula>
    </cfRule>
    <cfRule type="containsText" dxfId="306" priority="309" operator="containsText" text="AXN TW">
      <formula>NOT(ISERROR(SEARCH("AXN TW",J9)))</formula>
    </cfRule>
    <cfRule type="containsText" dxfId="305" priority="310" operator="containsText" text="AXN">
      <formula>NOT(ISERROR(SEARCH("AXN",J9)))</formula>
    </cfRule>
  </conditionalFormatting>
  <conditionalFormatting sqref="L9:L19">
    <cfRule type="containsText" dxfId="304" priority="303" stopIfTrue="1" operator="containsText" text="Master">
      <formula>NOT(ISERROR(SEARCH("Master",L9)))</formula>
    </cfRule>
    <cfRule type="containsText" dxfId="303" priority="304" stopIfTrue="1" operator="containsText" text="Freelance Audio">
      <formula>NOT(ISERROR(SEARCH("Freelance Audio",L9)))</formula>
    </cfRule>
    <cfRule type="containsText" dxfId="302" priority="305" stopIfTrue="1" operator="containsText" text="Audio">
      <formula>NOT(ISERROR(SEARCH("Audio",L9)))</formula>
    </cfRule>
  </conditionalFormatting>
  <conditionalFormatting sqref="Q9:Q19">
    <cfRule type="containsText" dxfId="301" priority="298" operator="containsText" text="ONE">
      <formula>NOT(ISERROR(SEARCH("ONE",Q9)))</formula>
    </cfRule>
    <cfRule type="containsText" dxfId="300" priority="299" operator="containsText" text="GEM">
      <formula>NOT(ISERROR(SEARCH("GEM",Q9)))</formula>
    </cfRule>
    <cfRule type="containsText" dxfId="299" priority="300" operator="containsText" text="ANIMAX">
      <formula>NOT(ISERROR(SEARCH("ANIMAX",Q9)))</formula>
    </cfRule>
    <cfRule type="containsText" dxfId="298" priority="301" operator="containsText" text="AXN TW">
      <formula>NOT(ISERROR(SEARCH("AXN TW",Q9)))</formula>
    </cfRule>
    <cfRule type="containsText" dxfId="297" priority="302" operator="containsText" text="AXN">
      <formula>NOT(ISERROR(SEARCH("AXN",Q9)))</formula>
    </cfRule>
  </conditionalFormatting>
  <conditionalFormatting sqref="S9:S19">
    <cfRule type="containsText" dxfId="296" priority="295" stopIfTrue="1" operator="containsText" text="Master">
      <formula>NOT(ISERROR(SEARCH("Master",S9)))</formula>
    </cfRule>
    <cfRule type="containsText" dxfId="295" priority="296" stopIfTrue="1" operator="containsText" text="Freelance Audio">
      <formula>NOT(ISERROR(SEARCH("Freelance Audio",S9)))</formula>
    </cfRule>
    <cfRule type="containsText" dxfId="294" priority="297" stopIfTrue="1" operator="containsText" text="Audio">
      <formula>NOT(ISERROR(SEARCH("Audio",S9)))</formula>
    </cfRule>
  </conditionalFormatting>
  <conditionalFormatting sqref="X9:X19">
    <cfRule type="containsText" dxfId="293" priority="290" operator="containsText" text="ONE">
      <formula>NOT(ISERROR(SEARCH("ONE",X9)))</formula>
    </cfRule>
    <cfRule type="containsText" dxfId="292" priority="291" operator="containsText" text="GEM">
      <formula>NOT(ISERROR(SEARCH("GEM",X9)))</formula>
    </cfRule>
    <cfRule type="containsText" dxfId="291" priority="292" operator="containsText" text="ANIMAX">
      <formula>NOT(ISERROR(SEARCH("ANIMAX",X9)))</formula>
    </cfRule>
    <cfRule type="containsText" dxfId="290" priority="293" operator="containsText" text="AXN TW">
      <formula>NOT(ISERROR(SEARCH("AXN TW",X9)))</formula>
    </cfRule>
    <cfRule type="containsText" dxfId="289" priority="294" operator="containsText" text="AXN">
      <formula>NOT(ISERROR(SEARCH("AXN",X9)))</formula>
    </cfRule>
  </conditionalFormatting>
  <conditionalFormatting sqref="Z9:Z19">
    <cfRule type="containsText" dxfId="288" priority="287" stopIfTrue="1" operator="containsText" text="Master">
      <formula>NOT(ISERROR(SEARCH("Master",Z9)))</formula>
    </cfRule>
    <cfRule type="containsText" dxfId="287" priority="288" stopIfTrue="1" operator="containsText" text="Freelance Audio">
      <formula>NOT(ISERROR(SEARCH("Freelance Audio",Z9)))</formula>
    </cfRule>
    <cfRule type="containsText" dxfId="286" priority="289" stopIfTrue="1" operator="containsText" text="Audio">
      <formula>NOT(ISERROR(SEARCH("Audio",Z9)))</formula>
    </cfRule>
  </conditionalFormatting>
  <conditionalFormatting sqref="AE9:AE19">
    <cfRule type="containsText" dxfId="285" priority="282" operator="containsText" text="ONE">
      <formula>NOT(ISERROR(SEARCH("ONE",AE9)))</formula>
    </cfRule>
    <cfRule type="containsText" dxfId="284" priority="283" operator="containsText" text="GEM">
      <formula>NOT(ISERROR(SEARCH("GEM",AE9)))</formula>
    </cfRule>
    <cfRule type="containsText" dxfId="283" priority="284" operator="containsText" text="ANIMAX">
      <formula>NOT(ISERROR(SEARCH("ANIMAX",AE9)))</formula>
    </cfRule>
    <cfRule type="containsText" dxfId="282" priority="285" operator="containsText" text="AXN TW">
      <formula>NOT(ISERROR(SEARCH("AXN TW",AE9)))</formula>
    </cfRule>
    <cfRule type="containsText" dxfId="281" priority="286" operator="containsText" text="AXN">
      <formula>NOT(ISERROR(SEARCH("AXN",AE9)))</formula>
    </cfRule>
  </conditionalFormatting>
  <conditionalFormatting sqref="AG9:AG19">
    <cfRule type="containsText" dxfId="280" priority="279" stopIfTrue="1" operator="containsText" text="Master">
      <formula>NOT(ISERROR(SEARCH("Master",AG9)))</formula>
    </cfRule>
    <cfRule type="containsText" dxfId="279" priority="280" stopIfTrue="1" operator="containsText" text="Freelance Audio">
      <formula>NOT(ISERROR(SEARCH("Freelance Audio",AG9)))</formula>
    </cfRule>
    <cfRule type="containsText" dxfId="278" priority="281" stopIfTrue="1" operator="containsText" text="Audio">
      <formula>NOT(ISERROR(SEARCH("Audio",AG9)))</formula>
    </cfRule>
  </conditionalFormatting>
  <conditionalFormatting sqref="C21:C31">
    <cfRule type="containsText" dxfId="277" priority="274" operator="containsText" text="ONE">
      <formula>NOT(ISERROR(SEARCH("ONE",C21)))</formula>
    </cfRule>
    <cfRule type="containsText" dxfId="276" priority="275" operator="containsText" text="GEM">
      <formula>NOT(ISERROR(SEARCH("GEM",C21)))</formula>
    </cfRule>
    <cfRule type="containsText" dxfId="275" priority="276" operator="containsText" text="ANIMAX">
      <formula>NOT(ISERROR(SEARCH("ANIMAX",C21)))</formula>
    </cfRule>
    <cfRule type="containsText" dxfId="274" priority="277" operator="containsText" text="AXN TW">
      <formula>NOT(ISERROR(SEARCH("AXN TW",C21)))</formula>
    </cfRule>
    <cfRule type="containsText" dxfId="273" priority="278" operator="containsText" text="AXN">
      <formula>NOT(ISERROR(SEARCH("AXN",C21)))</formula>
    </cfRule>
  </conditionalFormatting>
  <conditionalFormatting sqref="E21:E31">
    <cfRule type="containsText" dxfId="272" priority="271" stopIfTrue="1" operator="containsText" text="Master">
      <formula>NOT(ISERROR(SEARCH("Master",E21)))</formula>
    </cfRule>
    <cfRule type="containsText" dxfId="271" priority="272" stopIfTrue="1" operator="containsText" text="Freelance Audio">
      <formula>NOT(ISERROR(SEARCH("Freelance Audio",E21)))</formula>
    </cfRule>
    <cfRule type="containsText" dxfId="270" priority="273" stopIfTrue="1" operator="containsText" text="Audio">
      <formula>NOT(ISERROR(SEARCH("Audio",E21)))</formula>
    </cfRule>
  </conditionalFormatting>
  <conditionalFormatting sqref="J21:J31">
    <cfRule type="containsText" dxfId="269" priority="266" operator="containsText" text="ONE">
      <formula>NOT(ISERROR(SEARCH("ONE",J21)))</formula>
    </cfRule>
    <cfRule type="containsText" dxfId="268" priority="267" operator="containsText" text="GEM">
      <formula>NOT(ISERROR(SEARCH("GEM",J21)))</formula>
    </cfRule>
    <cfRule type="containsText" dxfId="267" priority="268" operator="containsText" text="ANIMAX">
      <formula>NOT(ISERROR(SEARCH("ANIMAX",J21)))</formula>
    </cfRule>
    <cfRule type="containsText" dxfId="266" priority="269" operator="containsText" text="AXN TW">
      <formula>NOT(ISERROR(SEARCH("AXN TW",J21)))</formula>
    </cfRule>
    <cfRule type="containsText" dxfId="265" priority="270" operator="containsText" text="AXN">
      <formula>NOT(ISERROR(SEARCH("AXN",J21)))</formula>
    </cfRule>
  </conditionalFormatting>
  <conditionalFormatting sqref="L21:L31">
    <cfRule type="containsText" dxfId="264" priority="263" stopIfTrue="1" operator="containsText" text="Master">
      <formula>NOT(ISERROR(SEARCH("Master",L21)))</formula>
    </cfRule>
    <cfRule type="containsText" dxfId="263" priority="264" stopIfTrue="1" operator="containsText" text="Freelance Audio">
      <formula>NOT(ISERROR(SEARCH("Freelance Audio",L21)))</formula>
    </cfRule>
    <cfRule type="containsText" dxfId="262" priority="265" stopIfTrue="1" operator="containsText" text="Audio">
      <formula>NOT(ISERROR(SEARCH("Audio",L21)))</formula>
    </cfRule>
  </conditionalFormatting>
  <conditionalFormatting sqref="Q21:Q31">
    <cfRule type="containsText" dxfId="261" priority="258" operator="containsText" text="ONE">
      <formula>NOT(ISERROR(SEARCH("ONE",Q21)))</formula>
    </cfRule>
    <cfRule type="containsText" dxfId="260" priority="259" operator="containsText" text="GEM">
      <formula>NOT(ISERROR(SEARCH("GEM",Q21)))</formula>
    </cfRule>
    <cfRule type="containsText" dxfId="259" priority="260" operator="containsText" text="ANIMAX">
      <formula>NOT(ISERROR(SEARCH("ANIMAX",Q21)))</formula>
    </cfRule>
    <cfRule type="containsText" dxfId="258" priority="261" operator="containsText" text="AXN TW">
      <formula>NOT(ISERROR(SEARCH("AXN TW",Q21)))</formula>
    </cfRule>
    <cfRule type="containsText" dxfId="257" priority="262" operator="containsText" text="AXN">
      <formula>NOT(ISERROR(SEARCH("AXN",Q21)))</formula>
    </cfRule>
  </conditionalFormatting>
  <conditionalFormatting sqref="S21:S31">
    <cfRule type="containsText" dxfId="256" priority="255" stopIfTrue="1" operator="containsText" text="Master">
      <formula>NOT(ISERROR(SEARCH("Master",S21)))</formula>
    </cfRule>
    <cfRule type="containsText" dxfId="255" priority="256" stopIfTrue="1" operator="containsText" text="Freelance Audio">
      <formula>NOT(ISERROR(SEARCH("Freelance Audio",S21)))</formula>
    </cfRule>
    <cfRule type="containsText" dxfId="254" priority="257" stopIfTrue="1" operator="containsText" text="Audio">
      <formula>NOT(ISERROR(SEARCH("Audio",S21)))</formula>
    </cfRule>
  </conditionalFormatting>
  <conditionalFormatting sqref="X21:X31">
    <cfRule type="containsText" dxfId="253" priority="250" operator="containsText" text="ONE">
      <formula>NOT(ISERROR(SEARCH("ONE",X21)))</formula>
    </cfRule>
    <cfRule type="containsText" dxfId="252" priority="251" operator="containsText" text="GEM">
      <formula>NOT(ISERROR(SEARCH("GEM",X21)))</formula>
    </cfRule>
    <cfRule type="containsText" dxfId="251" priority="252" operator="containsText" text="ANIMAX">
      <formula>NOT(ISERROR(SEARCH("ANIMAX",X21)))</formula>
    </cfRule>
    <cfRule type="containsText" dxfId="250" priority="253" operator="containsText" text="AXN TW">
      <formula>NOT(ISERROR(SEARCH("AXN TW",X21)))</formula>
    </cfRule>
    <cfRule type="containsText" dxfId="249" priority="254" operator="containsText" text="AXN">
      <formula>NOT(ISERROR(SEARCH("AXN",X21)))</formula>
    </cfRule>
  </conditionalFormatting>
  <conditionalFormatting sqref="Z21:Z31">
    <cfRule type="containsText" dxfId="248" priority="247" stopIfTrue="1" operator="containsText" text="Master">
      <formula>NOT(ISERROR(SEARCH("Master",Z21)))</formula>
    </cfRule>
    <cfRule type="containsText" dxfId="247" priority="248" stopIfTrue="1" operator="containsText" text="Freelance Audio">
      <formula>NOT(ISERROR(SEARCH("Freelance Audio",Z21)))</formula>
    </cfRule>
    <cfRule type="containsText" dxfId="246" priority="249" stopIfTrue="1" operator="containsText" text="Audio">
      <formula>NOT(ISERROR(SEARCH("Audio",Z21)))</formula>
    </cfRule>
  </conditionalFormatting>
  <conditionalFormatting sqref="AE21:AE31">
    <cfRule type="containsText" dxfId="245" priority="242" operator="containsText" text="ONE">
      <formula>NOT(ISERROR(SEARCH("ONE",AE21)))</formula>
    </cfRule>
    <cfRule type="containsText" dxfId="244" priority="243" operator="containsText" text="GEM">
      <formula>NOT(ISERROR(SEARCH("GEM",AE21)))</formula>
    </cfRule>
    <cfRule type="containsText" dxfId="243" priority="244" operator="containsText" text="ANIMAX">
      <formula>NOT(ISERROR(SEARCH("ANIMAX",AE21)))</formula>
    </cfRule>
    <cfRule type="containsText" dxfId="242" priority="245" operator="containsText" text="AXN TW">
      <formula>NOT(ISERROR(SEARCH("AXN TW",AE21)))</formula>
    </cfRule>
    <cfRule type="containsText" dxfId="241" priority="246" operator="containsText" text="AXN">
      <formula>NOT(ISERROR(SEARCH("AXN",AE21)))</formula>
    </cfRule>
  </conditionalFormatting>
  <conditionalFormatting sqref="AG21:AG31">
    <cfRule type="containsText" dxfId="240" priority="239" stopIfTrue="1" operator="containsText" text="Master">
      <formula>NOT(ISERROR(SEARCH("Master",AG21)))</formula>
    </cfRule>
    <cfRule type="containsText" dxfId="239" priority="240" stopIfTrue="1" operator="containsText" text="Freelance Audio">
      <formula>NOT(ISERROR(SEARCH("Freelance Audio",AG21)))</formula>
    </cfRule>
    <cfRule type="containsText" dxfId="238" priority="241" stopIfTrue="1" operator="containsText" text="Audio">
      <formula>NOT(ISERROR(SEARCH("Audio",AG21)))</formula>
    </cfRule>
  </conditionalFormatting>
  <conditionalFormatting sqref="C33:C43">
    <cfRule type="containsText" dxfId="237" priority="234" operator="containsText" text="ONE">
      <formula>NOT(ISERROR(SEARCH("ONE",C33)))</formula>
    </cfRule>
    <cfRule type="containsText" dxfId="236" priority="235" operator="containsText" text="GEM">
      <formula>NOT(ISERROR(SEARCH("GEM",C33)))</formula>
    </cfRule>
    <cfRule type="containsText" dxfId="235" priority="236" operator="containsText" text="ANIMAX">
      <formula>NOT(ISERROR(SEARCH("ANIMAX",C33)))</formula>
    </cfRule>
    <cfRule type="containsText" dxfId="234" priority="237" operator="containsText" text="AXN TW">
      <formula>NOT(ISERROR(SEARCH("AXN TW",C33)))</formula>
    </cfRule>
    <cfRule type="containsText" dxfId="233" priority="238" operator="containsText" text="AXN">
      <formula>NOT(ISERROR(SEARCH("AXN",C33)))</formula>
    </cfRule>
  </conditionalFormatting>
  <conditionalFormatting sqref="E33:E43">
    <cfRule type="containsText" dxfId="232" priority="231" stopIfTrue="1" operator="containsText" text="Master">
      <formula>NOT(ISERROR(SEARCH("Master",E33)))</formula>
    </cfRule>
    <cfRule type="containsText" dxfId="231" priority="232" stopIfTrue="1" operator="containsText" text="Freelance Audio">
      <formula>NOT(ISERROR(SEARCH("Freelance Audio",E33)))</formula>
    </cfRule>
    <cfRule type="containsText" dxfId="230" priority="233" stopIfTrue="1" operator="containsText" text="Audio">
      <formula>NOT(ISERROR(SEARCH("Audio",E33)))</formula>
    </cfRule>
  </conditionalFormatting>
  <conditionalFormatting sqref="J33:J43">
    <cfRule type="containsText" dxfId="229" priority="226" operator="containsText" text="ONE">
      <formula>NOT(ISERROR(SEARCH("ONE",J33)))</formula>
    </cfRule>
    <cfRule type="containsText" dxfId="228" priority="227" operator="containsText" text="GEM">
      <formula>NOT(ISERROR(SEARCH("GEM",J33)))</formula>
    </cfRule>
    <cfRule type="containsText" dxfId="227" priority="228" operator="containsText" text="ANIMAX">
      <formula>NOT(ISERROR(SEARCH("ANIMAX",J33)))</formula>
    </cfRule>
    <cfRule type="containsText" dxfId="226" priority="229" operator="containsText" text="AXN TW">
      <formula>NOT(ISERROR(SEARCH("AXN TW",J33)))</formula>
    </cfRule>
    <cfRule type="containsText" dxfId="225" priority="230" operator="containsText" text="AXN">
      <formula>NOT(ISERROR(SEARCH("AXN",J33)))</formula>
    </cfRule>
  </conditionalFormatting>
  <conditionalFormatting sqref="L33:L43">
    <cfRule type="containsText" dxfId="224" priority="223" stopIfTrue="1" operator="containsText" text="Master">
      <formula>NOT(ISERROR(SEARCH("Master",L33)))</formula>
    </cfRule>
    <cfRule type="containsText" dxfId="223" priority="224" stopIfTrue="1" operator="containsText" text="Freelance Audio">
      <formula>NOT(ISERROR(SEARCH("Freelance Audio",L33)))</formula>
    </cfRule>
    <cfRule type="containsText" dxfId="222" priority="225" stopIfTrue="1" operator="containsText" text="Audio">
      <formula>NOT(ISERROR(SEARCH("Audio",L33)))</formula>
    </cfRule>
  </conditionalFormatting>
  <conditionalFormatting sqref="Q33:Q43">
    <cfRule type="containsText" dxfId="221" priority="218" operator="containsText" text="ONE">
      <formula>NOT(ISERROR(SEARCH("ONE",Q33)))</formula>
    </cfRule>
    <cfRule type="containsText" dxfId="220" priority="219" operator="containsText" text="GEM">
      <formula>NOT(ISERROR(SEARCH("GEM",Q33)))</formula>
    </cfRule>
    <cfRule type="containsText" dxfId="219" priority="220" operator="containsText" text="ANIMAX">
      <formula>NOT(ISERROR(SEARCH("ANIMAX",Q33)))</formula>
    </cfRule>
    <cfRule type="containsText" dxfId="218" priority="221" operator="containsText" text="AXN TW">
      <formula>NOT(ISERROR(SEARCH("AXN TW",Q33)))</formula>
    </cfRule>
    <cfRule type="containsText" dxfId="217" priority="222" operator="containsText" text="AXN">
      <formula>NOT(ISERROR(SEARCH("AXN",Q33)))</formula>
    </cfRule>
  </conditionalFormatting>
  <conditionalFormatting sqref="S33:S43">
    <cfRule type="containsText" dxfId="216" priority="215" stopIfTrue="1" operator="containsText" text="Master">
      <formula>NOT(ISERROR(SEARCH("Master",S33)))</formula>
    </cfRule>
    <cfRule type="containsText" dxfId="215" priority="216" stopIfTrue="1" operator="containsText" text="Freelance Audio">
      <formula>NOT(ISERROR(SEARCH("Freelance Audio",S33)))</formula>
    </cfRule>
    <cfRule type="containsText" dxfId="214" priority="217" stopIfTrue="1" operator="containsText" text="Audio">
      <formula>NOT(ISERROR(SEARCH("Audio",S33)))</formula>
    </cfRule>
  </conditionalFormatting>
  <conditionalFormatting sqref="X33:X43">
    <cfRule type="containsText" dxfId="213" priority="210" operator="containsText" text="ONE">
      <formula>NOT(ISERROR(SEARCH("ONE",X33)))</formula>
    </cfRule>
    <cfRule type="containsText" dxfId="212" priority="211" operator="containsText" text="GEM">
      <formula>NOT(ISERROR(SEARCH("GEM",X33)))</formula>
    </cfRule>
    <cfRule type="containsText" dxfId="211" priority="212" operator="containsText" text="ANIMAX">
      <formula>NOT(ISERROR(SEARCH("ANIMAX",X33)))</formula>
    </cfRule>
    <cfRule type="containsText" dxfId="210" priority="213" operator="containsText" text="AXN TW">
      <formula>NOT(ISERROR(SEARCH("AXN TW",X33)))</formula>
    </cfRule>
    <cfRule type="containsText" dxfId="209" priority="214" operator="containsText" text="AXN">
      <formula>NOT(ISERROR(SEARCH("AXN",X33)))</formula>
    </cfRule>
  </conditionalFormatting>
  <conditionalFormatting sqref="Z33:Z43">
    <cfRule type="containsText" dxfId="208" priority="207" stopIfTrue="1" operator="containsText" text="Master">
      <formula>NOT(ISERROR(SEARCH("Master",Z33)))</formula>
    </cfRule>
    <cfRule type="containsText" dxfId="207" priority="208" stopIfTrue="1" operator="containsText" text="Freelance Audio">
      <formula>NOT(ISERROR(SEARCH("Freelance Audio",Z33)))</formula>
    </cfRule>
    <cfRule type="containsText" dxfId="206" priority="209" stopIfTrue="1" operator="containsText" text="Audio">
      <formula>NOT(ISERROR(SEARCH("Audio",Z33)))</formula>
    </cfRule>
  </conditionalFormatting>
  <conditionalFormatting sqref="AE33:AE43">
    <cfRule type="containsText" dxfId="205" priority="202" operator="containsText" text="ONE">
      <formula>NOT(ISERROR(SEARCH("ONE",AE33)))</formula>
    </cfRule>
    <cfRule type="containsText" dxfId="204" priority="203" operator="containsText" text="GEM">
      <formula>NOT(ISERROR(SEARCH("GEM",AE33)))</formula>
    </cfRule>
    <cfRule type="containsText" dxfId="203" priority="204" operator="containsText" text="ANIMAX">
      <formula>NOT(ISERROR(SEARCH("ANIMAX",AE33)))</formula>
    </cfRule>
    <cfRule type="containsText" dxfId="202" priority="205" operator="containsText" text="AXN TW">
      <formula>NOT(ISERROR(SEARCH("AXN TW",AE33)))</formula>
    </cfRule>
    <cfRule type="containsText" dxfId="201" priority="206" operator="containsText" text="AXN">
      <formula>NOT(ISERROR(SEARCH("AXN",AE33)))</formula>
    </cfRule>
  </conditionalFormatting>
  <conditionalFormatting sqref="AG33:AG43">
    <cfRule type="containsText" dxfId="200" priority="199" stopIfTrue="1" operator="containsText" text="Master">
      <formula>NOT(ISERROR(SEARCH("Master",AG33)))</formula>
    </cfRule>
    <cfRule type="containsText" dxfId="199" priority="200" stopIfTrue="1" operator="containsText" text="Freelance Audio">
      <formula>NOT(ISERROR(SEARCH("Freelance Audio",AG33)))</formula>
    </cfRule>
    <cfRule type="containsText" dxfId="198" priority="201" stopIfTrue="1" operator="containsText" text="Audio">
      <formula>NOT(ISERROR(SEARCH("Audio",AG33)))</formula>
    </cfRule>
  </conditionalFormatting>
  <conditionalFormatting sqref="C45:C55">
    <cfRule type="containsText" dxfId="197" priority="194" operator="containsText" text="ONE">
      <formula>NOT(ISERROR(SEARCH("ONE",C45)))</formula>
    </cfRule>
    <cfRule type="containsText" dxfId="196" priority="195" operator="containsText" text="GEM">
      <formula>NOT(ISERROR(SEARCH("GEM",C45)))</formula>
    </cfRule>
    <cfRule type="containsText" dxfId="195" priority="196" operator="containsText" text="ANIMAX">
      <formula>NOT(ISERROR(SEARCH("ANIMAX",C45)))</formula>
    </cfRule>
    <cfRule type="containsText" dxfId="194" priority="197" operator="containsText" text="AXN TW">
      <formula>NOT(ISERROR(SEARCH("AXN TW",C45)))</formula>
    </cfRule>
    <cfRule type="containsText" dxfId="193" priority="198" operator="containsText" text="AXN">
      <formula>NOT(ISERROR(SEARCH("AXN",C45)))</formula>
    </cfRule>
  </conditionalFormatting>
  <conditionalFormatting sqref="E45:E55">
    <cfRule type="containsText" dxfId="192" priority="191" stopIfTrue="1" operator="containsText" text="Master">
      <formula>NOT(ISERROR(SEARCH("Master",E45)))</formula>
    </cfRule>
    <cfRule type="containsText" dxfId="191" priority="192" stopIfTrue="1" operator="containsText" text="Freelance Audio">
      <formula>NOT(ISERROR(SEARCH("Freelance Audio",E45)))</formula>
    </cfRule>
    <cfRule type="containsText" dxfId="190" priority="193" stopIfTrue="1" operator="containsText" text="Audio">
      <formula>NOT(ISERROR(SEARCH("Audio",E45)))</formula>
    </cfRule>
  </conditionalFormatting>
  <conditionalFormatting sqref="J45:J55">
    <cfRule type="containsText" dxfId="189" priority="186" operator="containsText" text="ONE">
      <formula>NOT(ISERROR(SEARCH("ONE",J45)))</formula>
    </cfRule>
    <cfRule type="containsText" dxfId="188" priority="187" operator="containsText" text="GEM">
      <formula>NOT(ISERROR(SEARCH("GEM",J45)))</formula>
    </cfRule>
    <cfRule type="containsText" dxfId="187" priority="188" operator="containsText" text="ANIMAX">
      <formula>NOT(ISERROR(SEARCH("ANIMAX",J45)))</formula>
    </cfRule>
    <cfRule type="containsText" dxfId="186" priority="189" operator="containsText" text="AXN TW">
      <formula>NOT(ISERROR(SEARCH("AXN TW",J45)))</formula>
    </cfRule>
    <cfRule type="containsText" dxfId="185" priority="190" operator="containsText" text="AXN">
      <formula>NOT(ISERROR(SEARCH("AXN",J45)))</formula>
    </cfRule>
  </conditionalFormatting>
  <conditionalFormatting sqref="L45:L55">
    <cfRule type="containsText" dxfId="184" priority="183" stopIfTrue="1" operator="containsText" text="Master">
      <formula>NOT(ISERROR(SEARCH("Master",L45)))</formula>
    </cfRule>
    <cfRule type="containsText" dxfId="183" priority="184" stopIfTrue="1" operator="containsText" text="Freelance Audio">
      <formula>NOT(ISERROR(SEARCH("Freelance Audio",L45)))</formula>
    </cfRule>
    <cfRule type="containsText" dxfId="182" priority="185" stopIfTrue="1" operator="containsText" text="Audio">
      <formula>NOT(ISERROR(SEARCH("Audio",L45)))</formula>
    </cfRule>
  </conditionalFormatting>
  <conditionalFormatting sqref="Q45:Q55">
    <cfRule type="containsText" dxfId="181" priority="178" operator="containsText" text="ONE">
      <formula>NOT(ISERROR(SEARCH("ONE",Q45)))</formula>
    </cfRule>
    <cfRule type="containsText" dxfId="180" priority="179" operator="containsText" text="GEM">
      <formula>NOT(ISERROR(SEARCH("GEM",Q45)))</formula>
    </cfRule>
    <cfRule type="containsText" dxfId="179" priority="180" operator="containsText" text="ANIMAX">
      <formula>NOT(ISERROR(SEARCH("ANIMAX",Q45)))</formula>
    </cfRule>
    <cfRule type="containsText" dxfId="178" priority="181" operator="containsText" text="AXN TW">
      <formula>NOT(ISERROR(SEARCH("AXN TW",Q45)))</formula>
    </cfRule>
    <cfRule type="containsText" dxfId="177" priority="182" operator="containsText" text="AXN">
      <formula>NOT(ISERROR(SEARCH("AXN",Q45)))</formula>
    </cfRule>
  </conditionalFormatting>
  <conditionalFormatting sqref="S45:S55">
    <cfRule type="containsText" dxfId="176" priority="175" stopIfTrue="1" operator="containsText" text="Master">
      <formula>NOT(ISERROR(SEARCH("Master",S45)))</formula>
    </cfRule>
    <cfRule type="containsText" dxfId="175" priority="176" stopIfTrue="1" operator="containsText" text="Freelance Audio">
      <formula>NOT(ISERROR(SEARCH("Freelance Audio",S45)))</formula>
    </cfRule>
    <cfRule type="containsText" dxfId="174" priority="177" stopIfTrue="1" operator="containsText" text="Audio">
      <formula>NOT(ISERROR(SEARCH("Audio",S45)))</formula>
    </cfRule>
  </conditionalFormatting>
  <conditionalFormatting sqref="X45:X55">
    <cfRule type="containsText" dxfId="173" priority="170" operator="containsText" text="ONE">
      <formula>NOT(ISERROR(SEARCH("ONE",X45)))</formula>
    </cfRule>
    <cfRule type="containsText" dxfId="172" priority="171" operator="containsText" text="GEM">
      <formula>NOT(ISERROR(SEARCH("GEM",X45)))</formula>
    </cfRule>
    <cfRule type="containsText" dxfId="171" priority="172" operator="containsText" text="ANIMAX">
      <formula>NOT(ISERROR(SEARCH("ANIMAX",X45)))</formula>
    </cfRule>
    <cfRule type="containsText" dxfId="170" priority="173" operator="containsText" text="AXN TW">
      <formula>NOT(ISERROR(SEARCH("AXN TW",X45)))</formula>
    </cfRule>
    <cfRule type="containsText" dxfId="169" priority="174" operator="containsText" text="AXN">
      <formula>NOT(ISERROR(SEARCH("AXN",X45)))</formula>
    </cfRule>
  </conditionalFormatting>
  <conditionalFormatting sqref="Z45:Z55">
    <cfRule type="containsText" dxfId="168" priority="167" stopIfTrue="1" operator="containsText" text="Master">
      <formula>NOT(ISERROR(SEARCH("Master",Z45)))</formula>
    </cfRule>
    <cfRule type="containsText" dxfId="167" priority="168" stopIfTrue="1" operator="containsText" text="Freelance Audio">
      <formula>NOT(ISERROR(SEARCH("Freelance Audio",Z45)))</formula>
    </cfRule>
    <cfRule type="containsText" dxfId="166" priority="169" stopIfTrue="1" operator="containsText" text="Audio">
      <formula>NOT(ISERROR(SEARCH("Audio",Z45)))</formula>
    </cfRule>
  </conditionalFormatting>
  <conditionalFormatting sqref="AE45:AE55">
    <cfRule type="containsText" dxfId="165" priority="162" operator="containsText" text="ONE">
      <formula>NOT(ISERROR(SEARCH("ONE",AE45)))</formula>
    </cfRule>
    <cfRule type="containsText" dxfId="164" priority="163" operator="containsText" text="GEM">
      <formula>NOT(ISERROR(SEARCH("GEM",AE45)))</formula>
    </cfRule>
    <cfRule type="containsText" dxfId="163" priority="164" operator="containsText" text="ANIMAX">
      <formula>NOT(ISERROR(SEARCH("ANIMAX",AE45)))</formula>
    </cfRule>
    <cfRule type="containsText" dxfId="162" priority="165" operator="containsText" text="AXN TW">
      <formula>NOT(ISERROR(SEARCH("AXN TW",AE45)))</formula>
    </cfRule>
    <cfRule type="containsText" dxfId="161" priority="166" operator="containsText" text="AXN">
      <formula>NOT(ISERROR(SEARCH("AXN",AE45)))</formula>
    </cfRule>
  </conditionalFormatting>
  <conditionalFormatting sqref="AG45:AG55">
    <cfRule type="containsText" dxfId="160" priority="159" stopIfTrue="1" operator="containsText" text="Master">
      <formula>NOT(ISERROR(SEARCH("Master",AG45)))</formula>
    </cfRule>
    <cfRule type="containsText" dxfId="159" priority="160" stopIfTrue="1" operator="containsText" text="Freelance Audio">
      <formula>NOT(ISERROR(SEARCH("Freelance Audio",AG45)))</formula>
    </cfRule>
    <cfRule type="containsText" dxfId="158" priority="161" stopIfTrue="1" operator="containsText" text="Audio">
      <formula>NOT(ISERROR(SEARCH("Audio",AG45)))</formula>
    </cfRule>
  </conditionalFormatting>
  <conditionalFormatting sqref="C57:C67">
    <cfRule type="containsText" dxfId="157" priority="154" operator="containsText" text="ONE">
      <formula>NOT(ISERROR(SEARCH("ONE",C57)))</formula>
    </cfRule>
    <cfRule type="containsText" dxfId="156" priority="155" operator="containsText" text="GEM">
      <formula>NOT(ISERROR(SEARCH("GEM",C57)))</formula>
    </cfRule>
    <cfRule type="containsText" dxfId="155" priority="156" operator="containsText" text="ANIMAX">
      <formula>NOT(ISERROR(SEARCH("ANIMAX",C57)))</formula>
    </cfRule>
    <cfRule type="containsText" dxfId="154" priority="157" operator="containsText" text="AXN TW">
      <formula>NOT(ISERROR(SEARCH("AXN TW",C57)))</formula>
    </cfRule>
    <cfRule type="containsText" dxfId="153" priority="158" operator="containsText" text="AXN">
      <formula>NOT(ISERROR(SEARCH("AXN",C57)))</formula>
    </cfRule>
  </conditionalFormatting>
  <conditionalFormatting sqref="E57:E67">
    <cfRule type="containsText" dxfId="152" priority="151" stopIfTrue="1" operator="containsText" text="Master">
      <formula>NOT(ISERROR(SEARCH("Master",E57)))</formula>
    </cfRule>
    <cfRule type="containsText" dxfId="151" priority="152" stopIfTrue="1" operator="containsText" text="Freelance Audio">
      <formula>NOT(ISERROR(SEARCH("Freelance Audio",E57)))</formula>
    </cfRule>
    <cfRule type="containsText" dxfId="150" priority="153" stopIfTrue="1" operator="containsText" text="Audio">
      <formula>NOT(ISERROR(SEARCH("Audio",E57)))</formula>
    </cfRule>
  </conditionalFormatting>
  <conditionalFormatting sqref="J57:J67">
    <cfRule type="containsText" dxfId="149" priority="146" operator="containsText" text="ONE">
      <formula>NOT(ISERROR(SEARCH("ONE",J57)))</formula>
    </cfRule>
    <cfRule type="containsText" dxfId="148" priority="147" operator="containsText" text="GEM">
      <formula>NOT(ISERROR(SEARCH("GEM",J57)))</formula>
    </cfRule>
    <cfRule type="containsText" dxfId="147" priority="148" operator="containsText" text="ANIMAX">
      <formula>NOT(ISERROR(SEARCH("ANIMAX",J57)))</formula>
    </cfRule>
    <cfRule type="containsText" dxfId="146" priority="149" operator="containsText" text="AXN TW">
      <formula>NOT(ISERROR(SEARCH("AXN TW",J57)))</formula>
    </cfRule>
    <cfRule type="containsText" dxfId="145" priority="150" operator="containsText" text="AXN">
      <formula>NOT(ISERROR(SEARCH("AXN",J57)))</formula>
    </cfRule>
  </conditionalFormatting>
  <conditionalFormatting sqref="L57:L67">
    <cfRule type="containsText" dxfId="144" priority="143" stopIfTrue="1" operator="containsText" text="Master">
      <formula>NOT(ISERROR(SEARCH("Master",L57)))</formula>
    </cfRule>
    <cfRule type="containsText" dxfId="143" priority="144" stopIfTrue="1" operator="containsText" text="Freelance Audio">
      <formula>NOT(ISERROR(SEARCH("Freelance Audio",L57)))</formula>
    </cfRule>
    <cfRule type="containsText" dxfId="142" priority="145" stopIfTrue="1" operator="containsText" text="Audio">
      <formula>NOT(ISERROR(SEARCH("Audio",L57)))</formula>
    </cfRule>
  </conditionalFormatting>
  <conditionalFormatting sqref="Q57:Q67">
    <cfRule type="containsText" dxfId="141" priority="138" operator="containsText" text="ONE">
      <formula>NOT(ISERROR(SEARCH("ONE",Q57)))</formula>
    </cfRule>
    <cfRule type="containsText" dxfId="140" priority="139" operator="containsText" text="GEM">
      <formula>NOT(ISERROR(SEARCH("GEM",Q57)))</formula>
    </cfRule>
    <cfRule type="containsText" dxfId="139" priority="140" operator="containsText" text="ANIMAX">
      <formula>NOT(ISERROR(SEARCH("ANIMAX",Q57)))</formula>
    </cfRule>
    <cfRule type="containsText" dxfId="138" priority="141" operator="containsText" text="AXN TW">
      <formula>NOT(ISERROR(SEARCH("AXN TW",Q57)))</formula>
    </cfRule>
    <cfRule type="containsText" dxfId="137" priority="142" operator="containsText" text="AXN">
      <formula>NOT(ISERROR(SEARCH("AXN",Q57)))</formula>
    </cfRule>
  </conditionalFormatting>
  <conditionalFormatting sqref="S57:S67">
    <cfRule type="containsText" dxfId="136" priority="135" stopIfTrue="1" operator="containsText" text="Master">
      <formula>NOT(ISERROR(SEARCH("Master",S57)))</formula>
    </cfRule>
    <cfRule type="containsText" dxfId="135" priority="136" stopIfTrue="1" operator="containsText" text="Freelance Audio">
      <formula>NOT(ISERROR(SEARCH("Freelance Audio",S57)))</formula>
    </cfRule>
    <cfRule type="containsText" dxfId="134" priority="137" stopIfTrue="1" operator="containsText" text="Audio">
      <formula>NOT(ISERROR(SEARCH("Audio",S57)))</formula>
    </cfRule>
  </conditionalFormatting>
  <conditionalFormatting sqref="X57:X67">
    <cfRule type="containsText" dxfId="133" priority="130" operator="containsText" text="ONE">
      <formula>NOT(ISERROR(SEARCH("ONE",X57)))</formula>
    </cfRule>
    <cfRule type="containsText" dxfId="132" priority="131" operator="containsText" text="GEM">
      <formula>NOT(ISERROR(SEARCH("GEM",X57)))</formula>
    </cfRule>
    <cfRule type="containsText" dxfId="131" priority="132" operator="containsText" text="ANIMAX">
      <formula>NOT(ISERROR(SEARCH("ANIMAX",X57)))</formula>
    </cfRule>
    <cfRule type="containsText" dxfId="130" priority="133" operator="containsText" text="AXN TW">
      <formula>NOT(ISERROR(SEARCH("AXN TW",X57)))</formula>
    </cfRule>
    <cfRule type="containsText" dxfId="129" priority="134" operator="containsText" text="AXN">
      <formula>NOT(ISERROR(SEARCH("AXN",X57)))</formula>
    </cfRule>
  </conditionalFormatting>
  <conditionalFormatting sqref="Z57:Z67">
    <cfRule type="containsText" dxfId="128" priority="127" stopIfTrue="1" operator="containsText" text="Master">
      <formula>NOT(ISERROR(SEARCH("Master",Z57)))</formula>
    </cfRule>
    <cfRule type="containsText" dxfId="127" priority="128" stopIfTrue="1" operator="containsText" text="Freelance Audio">
      <formula>NOT(ISERROR(SEARCH("Freelance Audio",Z57)))</formula>
    </cfRule>
    <cfRule type="containsText" dxfId="126" priority="129" stopIfTrue="1" operator="containsText" text="Audio">
      <formula>NOT(ISERROR(SEARCH("Audio",Z57)))</formula>
    </cfRule>
  </conditionalFormatting>
  <conditionalFormatting sqref="AE57:AE67">
    <cfRule type="containsText" dxfId="125" priority="122" operator="containsText" text="ONE">
      <formula>NOT(ISERROR(SEARCH("ONE",AE57)))</formula>
    </cfRule>
    <cfRule type="containsText" dxfId="124" priority="123" operator="containsText" text="GEM">
      <formula>NOT(ISERROR(SEARCH("GEM",AE57)))</formula>
    </cfRule>
    <cfRule type="containsText" dxfId="123" priority="124" operator="containsText" text="ANIMAX">
      <formula>NOT(ISERROR(SEARCH("ANIMAX",AE57)))</formula>
    </cfRule>
    <cfRule type="containsText" dxfId="122" priority="125" operator="containsText" text="AXN TW">
      <formula>NOT(ISERROR(SEARCH("AXN TW",AE57)))</formula>
    </cfRule>
    <cfRule type="containsText" dxfId="121" priority="126" operator="containsText" text="AXN">
      <formula>NOT(ISERROR(SEARCH("AXN",AE57)))</formula>
    </cfRule>
  </conditionalFormatting>
  <conditionalFormatting sqref="AG57:AG67">
    <cfRule type="containsText" dxfId="120" priority="119" stopIfTrue="1" operator="containsText" text="Master">
      <formula>NOT(ISERROR(SEARCH("Master",AG57)))</formula>
    </cfRule>
    <cfRule type="containsText" dxfId="119" priority="120" stopIfTrue="1" operator="containsText" text="Freelance Audio">
      <formula>NOT(ISERROR(SEARCH("Freelance Audio",AG57)))</formula>
    </cfRule>
    <cfRule type="containsText" dxfId="118" priority="121" stopIfTrue="1" operator="containsText" text="Audio">
      <formula>NOT(ISERROR(SEARCH("Audio",AG57)))</formula>
    </cfRule>
  </conditionalFormatting>
  <conditionalFormatting sqref="C69:C79">
    <cfRule type="containsText" dxfId="117" priority="114" operator="containsText" text="ONE">
      <formula>NOT(ISERROR(SEARCH("ONE",C69)))</formula>
    </cfRule>
    <cfRule type="containsText" dxfId="116" priority="115" operator="containsText" text="GEM">
      <formula>NOT(ISERROR(SEARCH("GEM",C69)))</formula>
    </cfRule>
    <cfRule type="containsText" dxfId="115" priority="116" operator="containsText" text="ANIMAX">
      <formula>NOT(ISERROR(SEARCH("ANIMAX",C69)))</formula>
    </cfRule>
    <cfRule type="containsText" dxfId="114" priority="117" operator="containsText" text="AXN TW">
      <formula>NOT(ISERROR(SEARCH("AXN TW",C69)))</formula>
    </cfRule>
    <cfRule type="containsText" dxfId="113" priority="118" operator="containsText" text="AXN">
      <formula>NOT(ISERROR(SEARCH("AXN",C69)))</formula>
    </cfRule>
  </conditionalFormatting>
  <conditionalFormatting sqref="E69:E79">
    <cfRule type="containsText" dxfId="112" priority="111" stopIfTrue="1" operator="containsText" text="Master">
      <formula>NOT(ISERROR(SEARCH("Master",E69)))</formula>
    </cfRule>
    <cfRule type="containsText" dxfId="111" priority="112" stopIfTrue="1" operator="containsText" text="Freelance Audio">
      <formula>NOT(ISERROR(SEARCH("Freelance Audio",E69)))</formula>
    </cfRule>
    <cfRule type="containsText" dxfId="110" priority="113" stopIfTrue="1" operator="containsText" text="Audio">
      <formula>NOT(ISERROR(SEARCH("Audio",E69)))</formula>
    </cfRule>
  </conditionalFormatting>
  <conditionalFormatting sqref="J69:J79">
    <cfRule type="containsText" dxfId="109" priority="106" operator="containsText" text="ONE">
      <formula>NOT(ISERROR(SEARCH("ONE",J69)))</formula>
    </cfRule>
    <cfRule type="containsText" dxfId="108" priority="107" operator="containsText" text="GEM">
      <formula>NOT(ISERROR(SEARCH("GEM",J69)))</formula>
    </cfRule>
    <cfRule type="containsText" dxfId="107" priority="108" operator="containsText" text="ANIMAX">
      <formula>NOT(ISERROR(SEARCH("ANIMAX",J69)))</formula>
    </cfRule>
    <cfRule type="containsText" dxfId="106" priority="109" operator="containsText" text="AXN TW">
      <formula>NOT(ISERROR(SEARCH("AXN TW",J69)))</formula>
    </cfRule>
    <cfRule type="containsText" dxfId="105" priority="110" operator="containsText" text="AXN">
      <formula>NOT(ISERROR(SEARCH("AXN",J69)))</formula>
    </cfRule>
  </conditionalFormatting>
  <conditionalFormatting sqref="L69:L79">
    <cfRule type="containsText" dxfId="104" priority="103" stopIfTrue="1" operator="containsText" text="Master">
      <formula>NOT(ISERROR(SEARCH("Master",L69)))</formula>
    </cfRule>
    <cfRule type="containsText" dxfId="103" priority="104" stopIfTrue="1" operator="containsText" text="Freelance Audio">
      <formula>NOT(ISERROR(SEARCH("Freelance Audio",L69)))</formula>
    </cfRule>
    <cfRule type="containsText" dxfId="102" priority="105" stopIfTrue="1" operator="containsText" text="Audio">
      <formula>NOT(ISERROR(SEARCH("Audio",L69)))</formula>
    </cfRule>
  </conditionalFormatting>
  <conditionalFormatting sqref="Q69:Q79">
    <cfRule type="containsText" dxfId="101" priority="98" operator="containsText" text="ONE">
      <formula>NOT(ISERROR(SEARCH("ONE",Q69)))</formula>
    </cfRule>
    <cfRule type="containsText" dxfId="100" priority="99" operator="containsText" text="GEM">
      <formula>NOT(ISERROR(SEARCH("GEM",Q69)))</formula>
    </cfRule>
    <cfRule type="containsText" dxfId="99" priority="100" operator="containsText" text="ANIMAX">
      <formula>NOT(ISERROR(SEARCH("ANIMAX",Q69)))</formula>
    </cfRule>
    <cfRule type="containsText" dxfId="98" priority="101" operator="containsText" text="AXN TW">
      <formula>NOT(ISERROR(SEARCH("AXN TW",Q69)))</formula>
    </cfRule>
    <cfRule type="containsText" dxfId="97" priority="102" operator="containsText" text="AXN">
      <formula>NOT(ISERROR(SEARCH("AXN",Q69)))</formula>
    </cfRule>
  </conditionalFormatting>
  <conditionalFormatting sqref="S69:S79">
    <cfRule type="containsText" dxfId="96" priority="95" stopIfTrue="1" operator="containsText" text="Master">
      <formula>NOT(ISERROR(SEARCH("Master",S69)))</formula>
    </cfRule>
    <cfRule type="containsText" dxfId="95" priority="96" stopIfTrue="1" operator="containsText" text="Freelance Audio">
      <formula>NOT(ISERROR(SEARCH("Freelance Audio",S69)))</formula>
    </cfRule>
    <cfRule type="containsText" dxfId="94" priority="97" stopIfTrue="1" operator="containsText" text="Audio">
      <formula>NOT(ISERROR(SEARCH("Audio",S69)))</formula>
    </cfRule>
  </conditionalFormatting>
  <conditionalFormatting sqref="X69:X79">
    <cfRule type="containsText" dxfId="93" priority="90" operator="containsText" text="ONE">
      <formula>NOT(ISERROR(SEARCH("ONE",X69)))</formula>
    </cfRule>
    <cfRule type="containsText" dxfId="92" priority="91" operator="containsText" text="GEM">
      <formula>NOT(ISERROR(SEARCH("GEM",X69)))</formula>
    </cfRule>
    <cfRule type="containsText" dxfId="91" priority="92" operator="containsText" text="ANIMAX">
      <formula>NOT(ISERROR(SEARCH("ANIMAX",X69)))</formula>
    </cfRule>
    <cfRule type="containsText" dxfId="90" priority="93" operator="containsText" text="AXN TW">
      <formula>NOT(ISERROR(SEARCH("AXN TW",X69)))</formula>
    </cfRule>
    <cfRule type="containsText" dxfId="89" priority="94" operator="containsText" text="AXN">
      <formula>NOT(ISERROR(SEARCH("AXN",X69)))</formula>
    </cfRule>
  </conditionalFormatting>
  <conditionalFormatting sqref="Z69:Z79">
    <cfRule type="containsText" dxfId="88" priority="87" stopIfTrue="1" operator="containsText" text="Master">
      <formula>NOT(ISERROR(SEARCH("Master",Z69)))</formula>
    </cfRule>
    <cfRule type="containsText" dxfId="87" priority="88" stopIfTrue="1" operator="containsText" text="Freelance Audio">
      <formula>NOT(ISERROR(SEARCH("Freelance Audio",Z69)))</formula>
    </cfRule>
    <cfRule type="containsText" dxfId="86" priority="89" stopIfTrue="1" operator="containsText" text="Audio">
      <formula>NOT(ISERROR(SEARCH("Audio",Z69)))</formula>
    </cfRule>
  </conditionalFormatting>
  <conditionalFormatting sqref="AE69:AE79">
    <cfRule type="containsText" dxfId="85" priority="82" operator="containsText" text="ONE">
      <formula>NOT(ISERROR(SEARCH("ONE",AE69)))</formula>
    </cfRule>
    <cfRule type="containsText" dxfId="84" priority="83" operator="containsText" text="GEM">
      <formula>NOT(ISERROR(SEARCH("GEM",AE69)))</formula>
    </cfRule>
    <cfRule type="containsText" dxfId="83" priority="84" operator="containsText" text="ANIMAX">
      <formula>NOT(ISERROR(SEARCH("ANIMAX",AE69)))</formula>
    </cfRule>
    <cfRule type="containsText" dxfId="82" priority="85" operator="containsText" text="AXN TW">
      <formula>NOT(ISERROR(SEARCH("AXN TW",AE69)))</formula>
    </cfRule>
    <cfRule type="containsText" dxfId="81" priority="86" operator="containsText" text="AXN">
      <formula>NOT(ISERROR(SEARCH("AXN",AE69)))</formula>
    </cfRule>
  </conditionalFormatting>
  <conditionalFormatting sqref="AG69:AG79">
    <cfRule type="containsText" dxfId="80" priority="79" stopIfTrue="1" operator="containsText" text="Master">
      <formula>NOT(ISERROR(SEARCH("Master",AG69)))</formula>
    </cfRule>
    <cfRule type="containsText" dxfId="79" priority="80" stopIfTrue="1" operator="containsText" text="Freelance Audio">
      <formula>NOT(ISERROR(SEARCH("Freelance Audio",AG69)))</formula>
    </cfRule>
    <cfRule type="containsText" dxfId="78" priority="81" stopIfTrue="1" operator="containsText" text="Audio">
      <formula>NOT(ISERROR(SEARCH("Audio",AG69)))</formula>
    </cfRule>
  </conditionalFormatting>
  <conditionalFormatting sqref="H20 H32 H44 H56 H68 O68 O56 O44 O32 O20 O8 V8 V20 V32 V44 V56 V68 AC68 AC56 AC44 AC32 AC20 AC8 AJ8 AJ20 AJ32 AJ44 AJ56 AJ68">
    <cfRule type="expression" dxfId="77" priority="1">
      <formula>MONTH(H8)&lt;&gt;$AN$5</formula>
    </cfRule>
  </conditionalFormatting>
  <conditionalFormatting sqref="H8">
    <cfRule type="expression" dxfId="76" priority="59">
      <formula>MONTH(H8)&lt;&gt;$AN$5</formula>
    </cfRule>
  </conditionalFormatting>
  <conditionalFormatting sqref="B9:H19 B8">
    <cfRule type="expression" dxfId="75" priority="29">
      <formula>MONTH($H$8)&lt;&gt;$AN$5</formula>
    </cfRule>
  </conditionalFormatting>
  <conditionalFormatting sqref="I9:O19 I8">
    <cfRule type="expression" dxfId="74" priority="30">
      <formula>MONTH($O$8)&lt;&gt;$AN$5</formula>
    </cfRule>
  </conditionalFormatting>
  <conditionalFormatting sqref="P9:V19 P8">
    <cfRule type="expression" dxfId="73" priority="28">
      <formula>MONTH($V$8)&lt;&gt;$AN$5</formula>
    </cfRule>
  </conditionalFormatting>
  <conditionalFormatting sqref="AD9:AJ19 AD8">
    <cfRule type="expression" dxfId="72" priority="26">
      <formula>MONTH($AJ$8)&lt;&gt;$AN$5</formula>
    </cfRule>
  </conditionalFormatting>
  <conditionalFormatting sqref="W9:AC19 W8">
    <cfRule type="expression" dxfId="71" priority="27">
      <formula>MONTH($AC$8)&lt;&gt;$AN$5</formula>
    </cfRule>
  </conditionalFormatting>
  <conditionalFormatting sqref="AD69:AJ79 AD68">
    <cfRule type="expression" dxfId="70" priority="6">
      <formula>MONTH($AJ$68)&lt;&gt;$AN$5</formula>
    </cfRule>
  </conditionalFormatting>
  <conditionalFormatting sqref="W69:AC79 W68">
    <cfRule type="expression" dxfId="69" priority="5">
      <formula>MONTH($AC$68)&lt;&gt;$AN$5</formula>
    </cfRule>
  </conditionalFormatting>
  <conditionalFormatting sqref="P69:V79 P68">
    <cfRule type="expression" dxfId="68" priority="4">
      <formula>MONTH($V$68)&lt;&gt;$AN$5</formula>
    </cfRule>
  </conditionalFormatting>
  <conditionalFormatting sqref="I69:O79 I68">
    <cfRule type="expression" dxfId="67" priority="3">
      <formula>MONTH($O$68)&lt;&gt;$AN$5</formula>
    </cfRule>
  </conditionalFormatting>
  <conditionalFormatting sqref="B69:H79 B68">
    <cfRule type="expression" dxfId="66" priority="2">
      <formula>MONTH($H$68)&lt;&gt;$AN$5</formula>
    </cfRule>
  </conditionalFormatting>
  <conditionalFormatting sqref="AD57:AJ67 AD56">
    <cfRule type="expression" dxfId="65" priority="7">
      <formula>MONTH($AJ$56)&lt;&gt;$AN$5</formula>
    </cfRule>
  </conditionalFormatting>
  <conditionalFormatting sqref="W57:AC67 W56">
    <cfRule type="expression" dxfId="64" priority="8">
      <formula>MONTH($AC$56)&lt;&gt;$AN$5</formula>
    </cfRule>
  </conditionalFormatting>
  <conditionalFormatting sqref="P57:V67 P56">
    <cfRule type="expression" dxfId="63" priority="9">
      <formula>MONTH($V$56)&lt;&gt;$AN$5</formula>
    </cfRule>
  </conditionalFormatting>
  <conditionalFormatting sqref="I57:O67 I56">
    <cfRule type="expression" dxfId="62" priority="10">
      <formula>MONTH($O$56)&lt;&gt;$AN$5</formula>
    </cfRule>
  </conditionalFormatting>
  <conditionalFormatting sqref="B57:H67 B56">
    <cfRule type="expression" dxfId="61" priority="11">
      <formula>MONTH($H$56)&lt;&gt;$AN$5</formula>
    </cfRule>
  </conditionalFormatting>
  <conditionalFormatting sqref="B21:H31 B20">
    <cfRule type="expression" dxfId="60" priority="31">
      <formula>MONTH($H$20)&lt;&gt;$AN$5</formula>
    </cfRule>
  </conditionalFormatting>
  <dataValidations count="5">
    <dataValidation type="list" allowBlank="1" showInputMessage="1" showErrorMessage="1" sqref="G9:G19 N9:N19 U9:U19 AB9:AB19 AI9:AI19 G21:G31 N21:N31 U21:U31 AB21:AB31 AI21:AI31 G33:G43 N33:N43 U33:U43 AB33:AB43 AI33:AI43 G45:G55 N45:N55 U45:U55 AB45:AB55 AI45:AI55 G57:G67 N57:N67 U57:U67 AB57:AB67 AI57:AI67 G69:G79 N69:N79 U69:U79 AB69:AB79 AI69:AI79" xr:uid="{20AC2F8D-403E-4599-9908-0A686FBD27D9}">
      <formula1>"0.5,1,1.5,2,2.5,3,3.5,4,4.5,5,5.5,6,6.5,7,7.5,8"</formula1>
    </dataValidation>
    <dataValidation type="list" allowBlank="1" showInputMessage="1" showErrorMessage="1" sqref="F9:F19 M9:M19 T9:T19 AA9:AA19 AH9:AH19 F21:F31 M21:M31 T21:T31 AA21:AA31 AH21:AH31 F33:F43 M33:M43 T33:T43 AA33:AA43 AH33:AH43 F45:F55 M45:M55 T45:T55 AA45:AA55 AH45:AH55 F57:F67 M57:M67 T57:T67 AA57:AA67 AH57:AH67 F69:F79 M69:M79 T69:T79 AA69:AA79 AH69:AH79" xr:uid="{08B30D5C-5337-4C46-BABE-AE460EF6C8C2}">
      <formula1>"AM, PM"</formula1>
    </dataValidation>
    <dataValidation type="list" allowBlank="1" showInputMessage="1" showErrorMessage="1" sqref="E9:E19 L9:L19 S9:S19 Z9:Z19 AG9:AG19 E21:E31 L21:L31 S21:S31 Z21:Z31 AG21:AG31 E33:E43 L33:L43 S33:S43 Z33:Z43 AG33:AG43 E45:E55 L45:L55 S45:S55 Z45:Z55 AG45:AG55 E57:E67 L57:L67 S57:S67 Z57:Z67 AG57:AG67 E69:E79 L69:L79 S69:S79 Z69:Z79 AG69:AG79" xr:uid="{A2C4AD27-633D-4F25-938B-BEC99947E43A}">
      <formula1>"Audio,Freelance Audio,Master"</formula1>
    </dataValidation>
    <dataValidation type="list" allowBlank="1" showInputMessage="1" showErrorMessage="1" sqref="C9:C19 J9:J19 Q9:Q19 X9:X19 AE9:AE19 C21:C31 J21:J31 Q21:Q31 X21:X31 AE21:AE31 C33:C43 J33:J43 Q33:Q43 X33:X43 AE33:AE43 C45:C55 J45:J55 Q45:Q55 X45:X55 AE45:AE55 C57:C67 J57:J67 Q57:Q67 X57:X67 AE57:AE67 C69:C79 J69:J79 Q69:Q79 X69:X79 AE69:AE79" xr:uid="{F329DD8B-0B03-48BF-9F4B-A91264C5F589}">
      <formula1>"ANIMAX,AXN,AXN TW,GEM,ONE"</formula1>
    </dataValidation>
    <dataValidation type="list" allowBlank="1" showInputMessage="1" showErrorMessage="1" sqref="B9:B19 I9:I19 P9:P19 W9:W19 AD9:AD19 B21:B31 I21:I31 P21:P31 W21:W31 AD21:AD31 B33:B43 I33:I43 P33:P43 W33:W43 AD33:AD43 B45:B55 I45:I55 P45:P55 W45:W55 B57:B67 I57:I67 P57:P67 W57:W67 AD57:AD67 B69:B79 I69:I79 P69:P79 W69:W79 AD69:AD79 AD45 AD47:AD55" xr:uid="{CF238A86-1061-498E-940C-B5FF9C5FA643}">
      <formula1>"DANIEL,JESSIE,NATASHA,SUSAN,WAYNE,DOROTHY,MARIA,CATH,FREELANCER"</formula1>
    </dataValidation>
  </dataValidations>
  <pageMargins left="0.7" right="0.7" top="0.75" bottom="0.75" header="0.3" footer="0.3"/>
  <pageSetup paperSize="9"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Spinner 1">
              <controlPr locked="0" defaultSize="0" autoPict="0" altText="YEAR">
                <anchor moveWithCells="1" sizeWithCells="1">
                  <from>
                    <xdr:col>40</xdr:col>
                    <xdr:colOff>0</xdr:colOff>
                    <xdr:row>1</xdr:row>
                    <xdr:rowOff>571500</xdr:rowOff>
                  </from>
                  <to>
                    <xdr:col>41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Spinner 2">
              <controlPr locked="0" defaultSize="0" autoPict="0">
                <anchor moveWithCells="1" sizeWithCells="1">
                  <from>
                    <xdr:col>39</xdr:col>
                    <xdr:colOff>901700</xdr:colOff>
                    <xdr:row>4</xdr:row>
                    <xdr:rowOff>0</xdr:rowOff>
                  </from>
                  <to>
                    <xdr:col>40</xdr:col>
                    <xdr:colOff>457200</xdr:colOff>
                    <xdr:row>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locked="0" defaultSize="0" print="0" autoFill="0" autoPict="0" macro="[0]!GenerateBookingSheet" altText="GENERATE">
                <anchor>
                  <from>
                    <xdr:col>41</xdr:col>
                    <xdr:colOff>419100</xdr:colOff>
                    <xdr:row>1</xdr:row>
                    <xdr:rowOff>12700</xdr:rowOff>
                  </from>
                  <to>
                    <xdr:col>46</xdr:col>
                    <xdr:colOff>342900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6" id="{068DD6EF-A252-4C8C-B9E6-D45516CDF3A4}">
            <xm:f>MATCH($H$8,HOLIDAYS!$B$2:$B$22,0)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B9:H19</xm:sqref>
        </x14:conditionalFormatting>
        <x14:conditionalFormatting xmlns:xm="http://schemas.microsoft.com/office/excel/2006/main">
          <x14:cfRule type="expression" priority="75" id="{9D4CA3B5-F231-49F9-A771-6CAD68960ABD}">
            <xm:f>MATCH($O$8,HOLIDAYS!$B$2:$B$22,0)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I9:O19</xm:sqref>
        </x14:conditionalFormatting>
        <x14:conditionalFormatting xmlns:xm="http://schemas.microsoft.com/office/excel/2006/main">
          <x14:cfRule type="expression" priority="74" id="{D91B67A8-4892-4DDD-A467-45FEF201047F}">
            <xm:f>MATCH($V$8,HOLIDAYS!$B$2:$B$22,0)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P9:V19</xm:sqref>
        </x14:conditionalFormatting>
        <x14:conditionalFormatting xmlns:xm="http://schemas.microsoft.com/office/excel/2006/main">
          <x14:cfRule type="expression" priority="77" id="{522E9CBC-82F6-4AF9-896A-83F7EE9E7A81}">
            <xm:f>MATCH($AJ$8,HOLIDAYS!$B$2:$B$22,0)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AD9:AJ19</xm:sqref>
        </x14:conditionalFormatting>
        <x14:conditionalFormatting xmlns:xm="http://schemas.microsoft.com/office/excel/2006/main">
          <x14:cfRule type="expression" priority="73" id="{F5C3D5D9-35CE-42DA-A783-36B00D786624}">
            <xm:f>MATCH($AC$8,HOLIDAYS!$B$2:$B$22,0)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W9:AC19</xm:sqref>
        </x14:conditionalFormatting>
        <x14:conditionalFormatting xmlns:xm="http://schemas.microsoft.com/office/excel/2006/main">
          <x14:cfRule type="expression" priority="71" id="{CDD2A0DB-E309-4FC4-BE01-3C5F1FA3C7E5}">
            <xm:f>MATCH($AJ$68,HOLIDAYS!$B$2:$B$22,0)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AD69:AJ79</xm:sqref>
        </x14:conditionalFormatting>
        <x14:conditionalFormatting xmlns:xm="http://schemas.microsoft.com/office/excel/2006/main">
          <x14:cfRule type="expression" priority="70" id="{E392B44F-381F-4DE5-B6DA-A41B58673B79}">
            <xm:f>MATCH($AC$68,HOLIDAYS!$B$2:$B$22,0)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W69:AC79</xm:sqref>
        </x14:conditionalFormatting>
        <x14:conditionalFormatting xmlns:xm="http://schemas.microsoft.com/office/excel/2006/main">
          <x14:cfRule type="expression" priority="69" id="{E61DA2D0-40C0-4DE6-B3CA-DD7EE3BA7E55}">
            <xm:f>MATCH($V$68,HOLIDAYS!$B$2:$B$22,0)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P69:V79</xm:sqref>
        </x14:conditionalFormatting>
        <x14:conditionalFormatting xmlns:xm="http://schemas.microsoft.com/office/excel/2006/main">
          <x14:cfRule type="expression" priority="68" id="{D13FB04B-8F96-4390-8FD2-987888839F2C}">
            <xm:f>MATCH($O$68,HOLIDAYS!$B$2:$B$22,0)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I69:O79</xm:sqref>
        </x14:conditionalFormatting>
        <x14:conditionalFormatting xmlns:xm="http://schemas.microsoft.com/office/excel/2006/main">
          <x14:cfRule type="expression" priority="67" id="{2C3237DC-E132-4828-8C0A-E466E00FAF42}">
            <xm:f>MATCH($H$68,HOLIDAYS!$B$2:$B$22,0)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B69:H79</xm:sqref>
        </x14:conditionalFormatting>
        <x14:conditionalFormatting xmlns:xm="http://schemas.microsoft.com/office/excel/2006/main">
          <x14:cfRule type="expression" priority="66" id="{5DABDA22-9EF2-4D39-8587-A4C4D44C9C16}">
            <xm:f>MATCH($AJ$56,HOLIDAYS!$B$2:$B$22,0)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AD57:AJ67</xm:sqref>
        </x14:conditionalFormatting>
        <x14:conditionalFormatting xmlns:xm="http://schemas.microsoft.com/office/excel/2006/main">
          <x14:cfRule type="expression" priority="65" id="{AD8E6682-85D6-4C17-9E44-CD29AABCA598}">
            <xm:f>MATCH($AC$56,HOLIDAYS!$B$2:$B$22,0)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W57:AC67</xm:sqref>
        </x14:conditionalFormatting>
        <x14:conditionalFormatting xmlns:xm="http://schemas.microsoft.com/office/excel/2006/main">
          <x14:cfRule type="expression" priority="64" id="{008EE4AE-7DFE-456E-BB79-89DF86F4E772}">
            <xm:f>MATCH($V$56,HOLIDAYS!$B$2:$B$22,0)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P57:V67</xm:sqref>
        </x14:conditionalFormatting>
        <x14:conditionalFormatting xmlns:xm="http://schemas.microsoft.com/office/excel/2006/main">
          <x14:cfRule type="expression" priority="63" id="{D359FC2C-8716-46A7-A8C8-0B072CD1C586}">
            <xm:f>MATCH($O$56,HOLIDAYS!$B$2:$B$22,0)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I57:O67</xm:sqref>
        </x14:conditionalFormatting>
        <x14:conditionalFormatting xmlns:xm="http://schemas.microsoft.com/office/excel/2006/main">
          <x14:cfRule type="expression" priority="62" id="{3BA38470-DABB-4BB1-8573-E058BDC92FE6}">
            <xm:f>MATCH($H$56,HOLIDAYS!$B$2:$B$22,0)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B57:H67</xm:sqref>
        </x14:conditionalFormatting>
        <x14:conditionalFormatting xmlns:xm="http://schemas.microsoft.com/office/excel/2006/main">
          <x14:cfRule type="expression" priority="61" id="{EB9E7B50-7A67-481D-AB46-9B070F72EA8A}">
            <xm:f>MATCH($H$20,HOLIDAYS!$B$2:$B$22,0)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B21:H31</xm:sqref>
        </x14:conditionalFormatting>
        <x14:conditionalFormatting xmlns:xm="http://schemas.microsoft.com/office/excel/2006/main">
          <x14:cfRule type="expression" priority="54" id="{219AC5A4-C0BF-4345-93B9-1D2F64E6A463}">
            <xm:f>MATCH($O$20,HOLIDAYS!$B$2:$B$22,0)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I21:O31</xm:sqref>
        </x14:conditionalFormatting>
        <x14:conditionalFormatting xmlns:xm="http://schemas.microsoft.com/office/excel/2006/main">
          <x14:cfRule type="expression" priority="53" id="{984C925B-0E37-4B9E-925E-A996C071DCC3}">
            <xm:f>MATCH($V$20,HOLIDAYS!$B$2:$B$22,0)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P21:V31</xm:sqref>
        </x14:conditionalFormatting>
        <x14:conditionalFormatting xmlns:xm="http://schemas.microsoft.com/office/excel/2006/main">
          <x14:cfRule type="expression" priority="52" id="{C1E9806D-82FC-4F17-B0B3-4238D10CF9C6}">
            <xm:f>MATCH($AC$20,HOLIDAYS!$B$2:$B$22,0)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W21:AC31</xm:sqref>
        </x14:conditionalFormatting>
        <x14:conditionalFormatting xmlns:xm="http://schemas.microsoft.com/office/excel/2006/main">
          <x14:cfRule type="expression" priority="51" id="{5EE30028-B1A5-459B-BE8B-5B5A68CEFB7F}">
            <xm:f>MATCH($AJ$20,HOLIDAYS!$B$2:$B$22,0)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AD21:AJ31</xm:sqref>
        </x14:conditionalFormatting>
        <x14:conditionalFormatting xmlns:xm="http://schemas.microsoft.com/office/excel/2006/main">
          <x14:cfRule type="expression" priority="50" id="{CB202A34-C872-4FDA-94C9-8449B64417D6}">
            <xm:f>MATCH($H$32,HOLIDAYS!$B$2:$B$22,0)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B33:H43</xm:sqref>
        </x14:conditionalFormatting>
        <x14:conditionalFormatting xmlns:xm="http://schemas.microsoft.com/office/excel/2006/main">
          <x14:cfRule type="expression" priority="49" id="{2B37C156-7367-45A8-ADC2-6E73D196ABEC}">
            <xm:f>MATCH($O$32,HOLIDAYS!$B$2:$B$22,0)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I33:O43</xm:sqref>
        </x14:conditionalFormatting>
        <x14:conditionalFormatting xmlns:xm="http://schemas.microsoft.com/office/excel/2006/main">
          <x14:cfRule type="expression" priority="48" id="{D3AE2BE8-4293-47EA-B5C3-9D50C4BC98BC}">
            <xm:f>MATCH($V$32,HOLIDAYS!$B$2:$B$22,0)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P33:V43</xm:sqref>
        </x14:conditionalFormatting>
        <x14:conditionalFormatting xmlns:xm="http://schemas.microsoft.com/office/excel/2006/main">
          <x14:cfRule type="expression" priority="47" id="{A76EBDDD-9E64-482B-BA72-30A91F918A86}">
            <xm:f>MATCH($AC$32,HOLIDAYS!$B$2:$B$22,0)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W33:AC43</xm:sqref>
        </x14:conditionalFormatting>
        <x14:conditionalFormatting xmlns:xm="http://schemas.microsoft.com/office/excel/2006/main">
          <x14:cfRule type="expression" priority="46" id="{AB7F5820-5192-4189-8A54-AF897A97D491}">
            <xm:f>MATCH($AJ$32,HOLIDAYS!$B$2:$B$22,0)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AD33:AJ43</xm:sqref>
        </x14:conditionalFormatting>
        <x14:conditionalFormatting xmlns:xm="http://schemas.microsoft.com/office/excel/2006/main">
          <x14:cfRule type="expression" priority="45" id="{84CB3580-426F-46A0-A0CE-00BA470246BC}">
            <xm:f>MATCH($H$44,HOLIDAYS!$B$2:$B$22,0)</xm:f>
            <x14:dxf>
              <font>
                <color rgb="FFC53186"/>
              </font>
              <fill>
                <patternFill>
                  <bgColor rgb="FFC53186"/>
                </patternFill>
              </fill>
            </x14:dxf>
          </x14:cfRule>
          <xm:sqref>B45:H55</xm:sqref>
        </x14:conditionalFormatting>
        <x14:conditionalFormatting xmlns:xm="http://schemas.microsoft.com/office/excel/2006/main">
          <x14:cfRule type="expression" priority="44" id="{46B5F31B-0FF1-439F-8F77-3EF697E96D1D}">
            <xm:f>MATCH($O$44,HOLIDAYS!$B$2:$B$22,0)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I45:O55</xm:sqref>
        </x14:conditionalFormatting>
        <x14:conditionalFormatting xmlns:xm="http://schemas.microsoft.com/office/excel/2006/main">
          <x14:cfRule type="expression" priority="43" id="{4E381418-2814-4B40-A887-BDDE0D260467}">
            <xm:f>MATCH($V$44,HOLIDAYS!$B$2:$B$22,0)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P45:V55</xm:sqref>
        </x14:conditionalFormatting>
        <x14:conditionalFormatting xmlns:xm="http://schemas.microsoft.com/office/excel/2006/main">
          <x14:cfRule type="expression" priority="42" id="{A7AE9E96-09FC-40DE-8E2F-2B447CB1414F}">
            <xm:f>MATCH($AC$44,HOLIDAYS!$B$2:$B$22,0)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W45:AC55</xm:sqref>
        </x14:conditionalFormatting>
        <x14:conditionalFormatting xmlns:xm="http://schemas.microsoft.com/office/excel/2006/main">
          <x14:cfRule type="expression" priority="41" id="{78E438AC-68A1-476E-A33E-C82453ED30A6}">
            <xm:f>MATCH($AJ$44,HOLIDAYS!$B$2:$B$22,0)</xm:f>
            <x14:dxf>
              <font>
                <color rgb="FFC53168"/>
              </font>
              <fill>
                <patternFill>
                  <bgColor rgb="FFC53186"/>
                </patternFill>
              </fill>
            </x14:dxf>
          </x14:cfRule>
          <xm:sqref>AD45:AJ55</xm:sqref>
        </x14:conditionalFormatting>
        <x14:conditionalFormatting xmlns:xm="http://schemas.microsoft.com/office/excel/2006/main">
          <x14:cfRule type="expression" priority="55" id="{BB082588-3168-4028-AFDD-58D7C53D8EF5}">
            <xm:f>MATCH($B$20,HOLIDAYS!$D$2:$D$22,0)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B20:H20</xm:sqref>
        </x14:conditionalFormatting>
        <x14:conditionalFormatting xmlns:xm="http://schemas.microsoft.com/office/excel/2006/main">
          <x14:cfRule type="expression" priority="78" id="{DD5CC5C1-AC11-430C-82FA-CA9937836B29}">
            <xm:f>MATCH($B$8,HOLIDAYS!$D$2:$D$22,0)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B8:H8</xm:sqref>
        </x14:conditionalFormatting>
        <x14:conditionalFormatting xmlns:xm="http://schemas.microsoft.com/office/excel/2006/main">
          <x14:cfRule type="expression" priority="58" id="{D8E470B5-3D9A-4431-9DB6-4A3E6D1D4421}">
            <xm:f>MATCH($I$8,HOLIDAYS!$D$2:$D$22,0)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I8:O8</xm:sqref>
        </x14:conditionalFormatting>
        <x14:conditionalFormatting xmlns:xm="http://schemas.microsoft.com/office/excel/2006/main">
          <x14:cfRule type="expression" priority="57" id="{3B7905BF-BC3D-425D-9228-72E9A097C837}">
            <xm:f>MATCH($P$8,HOLIDAYS!$D$2:$D$22,0)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P8:V8</xm:sqref>
        </x14:conditionalFormatting>
        <x14:conditionalFormatting xmlns:xm="http://schemas.microsoft.com/office/excel/2006/main">
          <x14:cfRule type="expression" priority="56" id="{7C0F4A27-1C40-43F1-A25E-68CBE134AE12}">
            <xm:f>MATCH($W$8,HOLIDAYS!$D$2:$D$22,0)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W8:AC8</xm:sqref>
        </x14:conditionalFormatting>
        <x14:conditionalFormatting xmlns:xm="http://schemas.microsoft.com/office/excel/2006/main">
          <x14:cfRule type="expression" priority="72" id="{31567D71-B69F-4E2C-8F06-26B55643EF51}">
            <xm:f>MATCH($AD$8,HOLIDAYS!$D$2:$D$22,0)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AD8:AJ8</xm:sqref>
        </x14:conditionalFormatting>
        <x14:conditionalFormatting xmlns:xm="http://schemas.microsoft.com/office/excel/2006/main">
          <x14:cfRule type="expression" priority="25" id="{3A3A4A8C-A13E-4B9A-915D-AFC80FF533C3}">
            <xm:f>MATCH($I$20,HOLIDAYS!$D$2:$D$22,0)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I20:O20</xm:sqref>
        </x14:conditionalFormatting>
        <x14:conditionalFormatting xmlns:xm="http://schemas.microsoft.com/office/excel/2006/main">
          <x14:cfRule type="expression" priority="24" id="{382E02E9-DF54-4024-B1F6-E2D9F95FFFB0}">
            <xm:f>MATCH($P$20,HOLIDAYS!$D$2:$D$22,0)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P20:V20</xm:sqref>
        </x14:conditionalFormatting>
        <x14:conditionalFormatting xmlns:xm="http://schemas.microsoft.com/office/excel/2006/main">
          <x14:cfRule type="expression" priority="23" id="{988E58B7-171E-4582-9413-2E8DD5D92336}">
            <xm:f>MATCH($W$20,HOLIDAYS!$D$2:$D$22,0)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W20:AC20</xm:sqref>
        </x14:conditionalFormatting>
        <x14:conditionalFormatting xmlns:xm="http://schemas.microsoft.com/office/excel/2006/main">
          <x14:cfRule type="expression" priority="22" id="{8C70CEC1-0291-45B4-B2BF-4744B407EE02}">
            <xm:f>MATCH($AD$20,HOLIDAYS!$D$2:$D$22,0)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AD20:AJ20</xm:sqref>
        </x14:conditionalFormatting>
        <x14:conditionalFormatting xmlns:xm="http://schemas.microsoft.com/office/excel/2006/main">
          <x14:cfRule type="expression" priority="21" id="{466BC1E5-CFF1-4ED9-BDE1-812AEF3320CA}">
            <xm:f>MATCH($B$32,HOLIDAYS!$D$2:$D$22,0)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B32:H32</xm:sqref>
        </x14:conditionalFormatting>
        <x14:conditionalFormatting xmlns:xm="http://schemas.microsoft.com/office/excel/2006/main">
          <x14:cfRule type="expression" priority="20" id="{0AE5C881-E4C9-4E2E-8869-AC3AC61F3E9A}">
            <xm:f>MATCH($I$32,HOLIDAYS!$D$2:$D$22,0)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I32:O32</xm:sqref>
        </x14:conditionalFormatting>
        <x14:conditionalFormatting xmlns:xm="http://schemas.microsoft.com/office/excel/2006/main">
          <x14:cfRule type="expression" priority="19" id="{CB46B87F-3ECA-4AD2-B06F-8BDE21ACE4E9}">
            <xm:f>MATCH($P$32,HOLIDAYS!$D$2:$D$22,0)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P32:V32</xm:sqref>
        </x14:conditionalFormatting>
        <x14:conditionalFormatting xmlns:xm="http://schemas.microsoft.com/office/excel/2006/main">
          <x14:cfRule type="expression" priority="18" id="{7B191FD0-70B5-43B3-AF25-24779C530000}">
            <xm:f>MATCH($W$32,HOLIDAYS!$D$2:$D$22,0)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W32:AC32</xm:sqref>
        </x14:conditionalFormatting>
        <x14:conditionalFormatting xmlns:xm="http://schemas.microsoft.com/office/excel/2006/main">
          <x14:cfRule type="expression" priority="17" id="{4C62CA95-2DFA-4CAC-9EC8-9AD2703D8812}">
            <xm:f>MATCH($AD$32,HOLIDAYS!$D$2:$D$22,0)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AD32:AJ32</xm:sqref>
        </x14:conditionalFormatting>
        <x14:conditionalFormatting xmlns:xm="http://schemas.microsoft.com/office/excel/2006/main">
          <x14:cfRule type="expression" priority="15" id="{74E23197-1AD6-49BB-A16F-CBF70A6FBB83}">
            <xm:f>MATCH($AD$44,HOLIDAYS!$D$2:$D$22,0)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AD44:AJ44</xm:sqref>
        </x14:conditionalFormatting>
        <x14:conditionalFormatting xmlns:xm="http://schemas.microsoft.com/office/excel/2006/main">
          <x14:cfRule type="expression" priority="16" id="{646BAF74-5F60-42D8-9920-FE51B73D3F1B}">
            <xm:f>MATCH($W$44,HOLIDAYS!$D$2:$D$22,0)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W44:AC44</xm:sqref>
        </x14:conditionalFormatting>
        <x14:conditionalFormatting xmlns:xm="http://schemas.microsoft.com/office/excel/2006/main">
          <x14:cfRule type="expression" priority="14" id="{B933A7DE-818E-4A33-87A6-27ACDE2A880C}">
            <xm:f>MATCH($P$44,HOLIDAYS!$D$2:$D$22,0)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P44:V44</xm:sqref>
        </x14:conditionalFormatting>
        <x14:conditionalFormatting xmlns:xm="http://schemas.microsoft.com/office/excel/2006/main">
          <x14:cfRule type="expression" priority="13" id="{081F18F5-BB24-4145-9248-B252DA3D2C41}">
            <xm:f>MATCH($I$44,HOLIDAYS!$D$2:$D$22,0)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I44:O44</xm:sqref>
        </x14:conditionalFormatting>
        <x14:conditionalFormatting xmlns:xm="http://schemas.microsoft.com/office/excel/2006/main">
          <x14:cfRule type="expression" priority="12" id="{433086E7-020F-4E6B-9190-B4F49D3CF161}">
            <xm:f>MATCH($B$44,HOLIDAYS!$D$2:$D$22,0)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B44:H44</xm:sqref>
        </x14:conditionalFormatting>
        <x14:conditionalFormatting xmlns:xm="http://schemas.microsoft.com/office/excel/2006/main">
          <x14:cfRule type="expression" priority="40" id="{E28658D3-80DC-4B4F-B279-5538877104B8}">
            <xm:f>MATCH($B$56,HOLIDAYS!$D$2:$D$22,0)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B56:H56</xm:sqref>
        </x14:conditionalFormatting>
        <x14:conditionalFormatting xmlns:xm="http://schemas.microsoft.com/office/excel/2006/main">
          <x14:cfRule type="expression" priority="39" id="{EC32AD9C-67EE-4583-8B61-2CCC8B499760}">
            <xm:f>MATCH($I$56,HOLIDAYS!$D$2:$D$22,0)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I56:O56</xm:sqref>
        </x14:conditionalFormatting>
        <x14:conditionalFormatting xmlns:xm="http://schemas.microsoft.com/office/excel/2006/main">
          <x14:cfRule type="expression" priority="38" id="{DCBA449B-F875-49F7-9892-9888978C9655}">
            <xm:f>MATCH($P$56,HOLIDAYS!$D$2:$D$22,0)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P56:V56</xm:sqref>
        </x14:conditionalFormatting>
        <x14:conditionalFormatting xmlns:xm="http://schemas.microsoft.com/office/excel/2006/main">
          <x14:cfRule type="expression" priority="37" id="{EB58706A-0BB0-46E0-8C4C-9B1D16DBD32D}">
            <xm:f>MATCH($W$56,HOLIDAYS!$D$2:$D$22,0)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W56:AC56</xm:sqref>
        </x14:conditionalFormatting>
        <x14:conditionalFormatting xmlns:xm="http://schemas.microsoft.com/office/excel/2006/main">
          <x14:cfRule type="expression" priority="60" id="{F5289D92-425F-4A4F-9B4B-E867626A66EB}">
            <xm:f>MATCH($AD$56,HOLIDAYS!$D$2:$D$22,0)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AD56:AJ56</xm:sqref>
        </x14:conditionalFormatting>
        <x14:conditionalFormatting xmlns:xm="http://schemas.microsoft.com/office/excel/2006/main">
          <x14:cfRule type="expression" priority="32" id="{6A803D0E-E0BB-4021-8EA1-FEF343873368}">
            <xm:f>MATCH($AD$68,HOLIDAYS!$D$2:$D$22,0)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AD68:AJ68</xm:sqref>
        </x14:conditionalFormatting>
        <x14:conditionalFormatting xmlns:xm="http://schemas.microsoft.com/office/excel/2006/main">
          <x14:cfRule type="expression" priority="33" id="{E4164E25-8C86-4A7C-AB40-30C94FA27C99}">
            <xm:f>MATCH($W$68,HOLIDAYS!$D$2:$D$22,0)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W68:AC68</xm:sqref>
        </x14:conditionalFormatting>
        <x14:conditionalFormatting xmlns:xm="http://schemas.microsoft.com/office/excel/2006/main">
          <x14:cfRule type="expression" priority="34" id="{FABFCB60-5819-47DA-969F-925D4B651AAB}">
            <xm:f>MATCH($P$68,HOLIDAYS!$D$2:$D$22,0)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P68:V68</xm:sqref>
        </x14:conditionalFormatting>
        <x14:conditionalFormatting xmlns:xm="http://schemas.microsoft.com/office/excel/2006/main">
          <x14:cfRule type="expression" priority="35" id="{B76ACE5E-AC67-4A6E-8BE5-37B8CF4D499F}">
            <xm:f>MATCH($I$68,HOLIDAYS!$D$2:$D$22,0)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I68:O68</xm:sqref>
        </x14:conditionalFormatting>
        <x14:conditionalFormatting xmlns:xm="http://schemas.microsoft.com/office/excel/2006/main">
          <x14:cfRule type="expression" priority="36" id="{761C847B-C0EB-497C-B674-53C5CC278C01}">
            <xm:f>MATCH($B$68,HOLIDAYS!$D$2:$D$22,0)</xm:f>
            <x14:dxf>
              <font>
                <color theme="0"/>
              </font>
              <fill>
                <patternFill>
                  <bgColor rgb="FFC53186"/>
                </patternFill>
              </fill>
            </x14:dxf>
          </x14:cfRule>
          <xm:sqref>B68:H68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2023 GFX</vt:lpstr>
      <vt:lpstr>TEMPLATE_ALL</vt:lpstr>
      <vt:lpstr>Audio Out-House</vt:lpstr>
      <vt:lpstr>Summary</vt:lpstr>
      <vt:lpstr>HOLIDAYS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Wang</dc:creator>
  <cp:lastModifiedBy>Daniel Wang</cp:lastModifiedBy>
  <dcterms:created xsi:type="dcterms:W3CDTF">2023-05-09T13:44:58Z</dcterms:created>
  <dcterms:modified xsi:type="dcterms:W3CDTF">2023-06-19T05:33:38Z</dcterms:modified>
</cp:coreProperties>
</file>